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配置总览" sheetId="1" state="visible" r:id="rId3"/>
    <sheet name="定投计划" sheetId="2" state="visible" r:id="rId4"/>
    <sheet name="估值跟踪" sheetId="3" state="visible" r:id="rId5"/>
    <sheet name="信号面板" sheetId="4" state="visible" r:id="rId6"/>
    <sheet name="持仓记录" sheetId="5" state="visible" r:id="rId7"/>
    <sheet name="月度清单" sheetId="6" state="visible" r:id="rId8"/>
    <sheet name="Review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<sst xmlns="http://schemas.openxmlformats.org/spreadsheetml/2006/main" count="217" uniqueCount="134">
  <si>
    <t xml:space="preserve">资产配置与再平衡计算器</t>
  </si>
  <si>
    <t xml:space="preserve">资产</t>
  </si>
  <si>
    <t xml:space="preserve">角色</t>
  </si>
  <si>
    <t xml:space="preserve">目标权重</t>
  </si>
  <si>
    <t xml:space="preserve">当前市值(输入)</t>
  </si>
  <si>
    <t xml:space="preserve">当前权重</t>
  </si>
  <si>
    <t xml:space="preserve">偏离(pp)</t>
  </si>
  <si>
    <t xml:space="preserve">调仓金额</t>
  </si>
  <si>
    <t xml:space="preserve">触发再平衡</t>
  </si>
  <si>
    <t xml:space="preserve">现金/货基</t>
  </si>
  <si>
    <t xml:space="preserve">现金</t>
  </si>
  <si>
    <t xml:space="preserve">国债/纯债</t>
  </si>
  <si>
    <t xml:space="preserve">核心</t>
  </si>
  <si>
    <t xml:space="preserve">沪深300</t>
  </si>
  <si>
    <t xml:space="preserve">标普500</t>
  </si>
  <si>
    <t xml:space="preserve">中证500</t>
  </si>
  <si>
    <t xml:space="preserve">纳指100</t>
  </si>
  <si>
    <t xml:space="preserve">黄金</t>
  </si>
  <si>
    <t xml:space="preserve">创业板指</t>
  </si>
  <si>
    <t xml:space="preserve">中证红利</t>
  </si>
  <si>
    <t xml:space="preserve">防守</t>
  </si>
  <si>
    <t xml:space="preserve">全指信息</t>
  </si>
  <si>
    <t xml:space="preserve">行业卫星</t>
  </si>
  <si>
    <t xml:space="preserve">新能源车</t>
  </si>
  <si>
    <t xml:space="preserve">全指医药</t>
  </si>
  <si>
    <t xml:space="preserve">合计</t>
  </si>
  <si>
    <t xml:space="preserve">使用：每月/每季把各资产最新市值填入蓝色列 → 当前权重、偏离与调仓金额自动计算；偏离≥±5pp 即触发再平衡。</t>
  </si>
  <si>
    <t xml:space="preserve">调仓优先用新定投资金『只买不卖』实现；卖出优先卖超配的卫星仓。</t>
  </si>
  <si>
    <t xml:space="preserve">估值加权定投计划</t>
  </si>
  <si>
    <t xml:space="preserve">每月定投总额(输入)</t>
  </si>
  <si>
    <t xml:space="preserve">基准月投额</t>
  </si>
  <si>
    <t xml:space="preserve">估值分位(输入)</t>
  </si>
  <si>
    <t xml:space="preserve">定投倍数</t>
  </si>
  <si>
    <t xml:space="preserve">实际定投额</t>
  </si>
  <si>
    <t xml:space="preserve">定投倍数规则（股票资产）：&lt;20%→2x｜20-40%→1.5x｜40-60%→1x｜60-80%→0.5x｜≥80%→停投(0x)；债券/黄金/现金固定 1x。</t>
  </si>
  <si>
    <t xml:space="preserve">估值分位每月初从网站『估值温度』页复制更新（蓝色列），倍数与金额自动重算。</t>
  </si>
  <si>
    <t xml:space="preserve">估值分位跟踪（近10年滚动）</t>
  </si>
  <si>
    <t xml:space="preserve">指数代码</t>
  </si>
  <si>
    <t xml:space="preserve">估值口径</t>
  </si>
  <si>
    <t xml:space="preserve">当前PE</t>
  </si>
  <si>
    <t xml:space="preserve">历史分位</t>
  </si>
  <si>
    <t xml:space="preserve">估值区</t>
  </si>
  <si>
    <t xml:space="preserve">数据截至</t>
  </si>
  <si>
    <t xml:space="preserve">备注</t>
  </si>
  <si>
    <t xml:space="preserve">000300.SH</t>
  </si>
  <si>
    <t xml:space="preserve">PE-TTM</t>
  </si>
  <si>
    <t xml:space="preserve">2026-09-30</t>
  </si>
  <si>
    <t xml:space="preserve">000905.SH</t>
  </si>
  <si>
    <t xml:space="preserve">399006.SZ</t>
  </si>
  <si>
    <t xml:space="preserve">PE/PB缺失，用价格分位替代</t>
  </si>
  <si>
    <t xml:space="preserve">000922.CSI</t>
  </si>
  <si>
    <t xml:space="preserve">SPX</t>
  </si>
  <si>
    <t xml:space="preserve">席勒PE</t>
  </si>
  <si>
    <t xml:space="preserve">2026-10-02</t>
  </si>
  <si>
    <t xml:space="preserve">NDX</t>
  </si>
  <si>
    <t xml:space="preserve">价格分位</t>
  </si>
  <si>
    <t xml:space="preserve">价格分位替代PE（弱均值回归假设）</t>
  </si>
  <si>
    <t xml:space="preserve">中证白酒</t>
  </si>
  <si>
    <t xml:space="preserve">399997.SZ</t>
  </si>
  <si>
    <t xml:space="preserve">000991.CSI</t>
  </si>
  <si>
    <t xml:space="preserve">000993.CSI</t>
  </si>
  <si>
    <t xml:space="preserve">中证消费</t>
  </si>
  <si>
    <t xml:space="preserve">000932.CSI</t>
  </si>
  <si>
    <t xml:space="preserve">中证军工</t>
  </si>
  <si>
    <t xml:space="preserve">399967.SZ</t>
  </si>
  <si>
    <t xml:space="preserve">证券公司</t>
  </si>
  <si>
    <t xml:space="preserve">399975.SZ</t>
  </si>
  <si>
    <t xml:space="preserve">930997.CSI</t>
  </si>
  <si>
    <t xml:space="preserve">恒生科技</t>
  </si>
  <si>
    <t xml:space="preserve">HSTECH</t>
  </si>
  <si>
    <t xml:space="preserve">日经225</t>
  </si>
  <si>
    <t xml:space="preserve">N225</t>
  </si>
  <si>
    <t xml:space="preserve">价格序列缺失</t>
  </si>
  <si>
    <t xml:space="preserve">绿色=便宜(低分位)，红色=贵(高分位)。当前值预填自引擎最新输出，PE 列可从网站『估值温度』页核对更新。</t>
  </si>
  <si>
    <t xml:space="preserve">四维打分卡（0-100，估值40/趋势30/资金15/宏观15）</t>
  </si>
  <si>
    <t xml:space="preserve">估值分</t>
  </si>
  <si>
    <t xml:space="preserve">趋势分</t>
  </si>
  <si>
    <t xml:space="preserve">资金分</t>
  </si>
  <si>
    <t xml:space="preserve">宏观分</t>
  </si>
  <si>
    <t xml:space="preserve">总分</t>
  </si>
  <si>
    <t xml:space="preserve">建议</t>
  </si>
  <si>
    <t xml:space="preserve">各维度分预填自引擎最新输出（每次刷新后可从网站复制更新）；总分为活公式，缺项自动归一。</t>
  </si>
  <si>
    <t xml:space="preserve">买卖流水</t>
  </si>
  <si>
    <t xml:space="preserve">日期</t>
  </si>
  <si>
    <t xml:space="preserve">代码</t>
  </si>
  <si>
    <t xml:space="preserve">名称</t>
  </si>
  <si>
    <t xml:space="preserve">方向</t>
  </si>
  <si>
    <t xml:space="preserve">份额</t>
  </si>
  <si>
    <t xml:space="preserve">单价</t>
  </si>
  <si>
    <t xml:space="preserve">金额</t>
  </si>
  <si>
    <t xml:space="preserve">费率</t>
  </si>
  <si>
    <t xml:space="preserve">费用</t>
  </si>
  <si>
    <t xml:space="preserve">2026-10-04</t>
  </si>
  <si>
    <t xml:space="preserve">510300</t>
  </si>
  <si>
    <t xml:space="preserve">沪深300ETF</t>
  </si>
  <si>
    <t xml:space="preserve">买入</t>
  </si>
  <si>
    <t xml:space="preserve">110020</t>
  </si>
  <si>
    <t xml:space="preserve">易方达沪深300联接A</t>
  </si>
  <si>
    <t xml:space="preserve">累计买入</t>
  </si>
  <si>
    <t xml:space="preserve">累计卖出</t>
  </si>
  <si>
    <t xml:space="preserve">方向列填『买入/卖出』；份额、单价、费率为蓝色输入列，金额与费用自动计算。</t>
  </si>
  <si>
    <t xml:space="preserve">执行清单</t>
  </si>
  <si>
    <t xml:space="preserve">频率</t>
  </si>
  <si>
    <t xml:space="preserve">事项</t>
  </si>
  <si>
    <t xml:space="preserve">对应工具</t>
  </si>
  <si>
    <t xml:space="preserve">完成(√)</t>
  </si>
  <si>
    <t xml:space="preserve">每日</t>
  </si>
  <si>
    <t xml:space="preserve">看网站总览页有无红色预警（溢价/陈旧数据/回撤提醒），不交易</t>
  </si>
  <si>
    <t xml:space="preserve">网站-总览</t>
  </si>
  <si>
    <t xml:space="preserve">每月</t>
  </si>
  <si>
    <t xml:space="preserve">按当月估值分位更新定投倍数，执行定投</t>
  </si>
  <si>
    <t xml:space="preserve">定投计划 / 网站-当前策略</t>
  </si>
  <si>
    <t xml:space="preserve">检查行业卫星动量排名变化</t>
  </si>
  <si>
    <t xml:space="preserve">网站-趋势与动量</t>
  </si>
  <si>
    <t xml:space="preserve">录入本月买卖流水</t>
  </si>
  <si>
    <t xml:space="preserve">持仓记录</t>
  </si>
  <si>
    <t xml:space="preserve">每季</t>
  </si>
  <si>
    <t xml:space="preserve">更新各资产市值，跑再平衡计算器，偏离≥±5pp 执行调仓</t>
  </si>
  <si>
    <t xml:space="preserve">配置总览</t>
  </si>
  <si>
    <t xml:space="preserve">核对 QDII 溢价，超 3% 的品种暂停买入</t>
  </si>
  <si>
    <t xml:space="preserve">网站-资金面</t>
  </si>
  <si>
    <t xml:space="preserve">每年</t>
  </si>
  <si>
    <t xml:space="preserve">复核基金费率/规模/跟踪误差，必要时换同类替代</t>
  </si>
  <si>
    <t xml:space="preserve">基金筛选标准</t>
  </si>
  <si>
    <t xml:space="preserve">复盘：每笔交易是否对应手册规则，写 3 条改进</t>
  </si>
  <si>
    <t xml:space="preserve">策略手册</t>
  </si>
  <si>
    <t xml:space="preserve">交叉校验</t>
  </si>
  <si>
    <t xml:space="preserve">检查项</t>
  </si>
  <si>
    <t xml:space="preserve">期望</t>
  </si>
  <si>
    <t xml:space="preserve">实际</t>
  </si>
  <si>
    <t xml:space="preserve">状态</t>
  </si>
  <si>
    <t xml:space="preserve">目标权重合计 = 100%</t>
  </si>
  <si>
    <t xml:space="preserve">定投基准合计 = 月投总额</t>
  </si>
  <si>
    <t xml:space="preserve">流水样本金额 = 份额×单价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</si>
</sst>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\¥#,##0"/>
    <numFmt numFmtId="167" formatCode="0.0"/>
    <numFmt numFmtId="168" formatCode="0.0\x"/>
    <numFmt numFmtId="169" formatCode="0.00%"/>
  </numFmts>
  <fonts count="12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6"/>
      <color rgb="FF0D1B2A"/>
      <name val="Noto Sans SC"/>
      <family val="0"/>
      <charset val="1"/>
    </font>
    <font>
      <sz val="11"/>
      <color rgb="FFFFFFFF"/>
      <name val="Noto Sans SC"/>
      <family val="0"/>
      <charset val="1"/>
    </font>
    <font>
      <sz val="11"/>
      <color rgb="FF0D1B2A"/>
      <name val="Noto Sans SC"/>
      <family val="0"/>
      <charset val="1"/>
    </font>
    <font>
      <sz val="11"/>
      <color rgb="FF0000FF"/>
      <name val="Noto Sans SC"/>
      <family val="0"/>
      <charset val="1"/>
    </font>
    <font>
      <sz val="9"/>
      <color rgb="FF708DA8"/>
      <name val="Noto Sans SC"/>
      <family val="0"/>
      <charset val="1"/>
    </font>
    <font>
      <sz val="11"/>
      <color rgb="FF708DA8"/>
      <name val="Noto Sans SC"/>
      <family val="0"/>
      <charset val="1"/>
    </font>
    <font>
      <sz val="11"/>
      <color rgb="FF008000"/>
      <name val="Noto Sans SC"/>
      <family val="0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FFFFF"/>
        <bgColor rgb="FFF4F7FA"/>
      </patternFill>
    </fill>
    <fill>
      <patternFill patternType="solid">
        <fgColor rgb="FFF4F7FA"/>
        <bgColor rgb="FFFFFFFF"/>
      </patternFill>
    </fill>
    <fill>
      <patternFill patternType="solid">
        <fgColor rgb="FFD6E0EB"/>
        <bgColor rgb="FFF4F7FA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E0EB"/>
      </bottom>
      <diagonal/>
    </border>
    <border diagonalUp="false" diagonalDown="false">
      <left/>
      <right/>
      <top style="medium">
        <color rgb="FFD6E0E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F59E0B"/>
      </font>
    </dxf>
    <dxf>
      <font>
        <color rgb="FF10B981"/>
      </font>
    </dxf>
    <dxf>
      <font>
        <color rgb="FFEF4444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DA8"/>
      <rgbColor rgb="FF9999FF"/>
      <rgbColor rgb="FF993366"/>
      <rgbColor rgb="FFF4F7FA"/>
      <rgbColor rgb="FFCCFFFF"/>
      <rgbColor rgb="FF660066"/>
      <rgbColor rgb="FFFF8080"/>
      <rgbColor rgb="FF0066CC"/>
      <rgbColor rgb="FFD6E0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59E0B"/>
      <rgbColor rgb="FFEF4444"/>
      <rgbColor rgb="FF666699"/>
      <rgbColor rgb="FF969696"/>
      <rgbColor rgb="FF003366"/>
      <rgbColor rgb="FF10B981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" min="1" style="0" width="2.73"/>
    <col collapsed="false" customWidth="true" hidden="false" outlineLevel="0" max="2" min="2" style="0" width="25.47"/>
    <col collapsed="false" customWidth="true" hidden="false" outlineLevel="0" max="3" min="3" style="0" width="8.01"/>
    <col collapsed="false" customWidth="true" hidden="false" outlineLevel="0" max="5" min="4" style="0" width="12.74"/>
    <col collapsed="false" customWidth="true" hidden="false" outlineLevel="0" max="6" min="6" style="0" width="23.66"/>
    <col collapsed="false" customWidth="true" hidden="false" outlineLevel="0" max="9" min="7" style="0" width="25.47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7.5" hidden="false" customHeight="true" outlineLevel="0" collapsed="false"/>
    <row r="4" customFormat="false" ht="27.75" hidden="false" customHeight="true" outlineLevel="0" collapsed="false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customFormat="false" ht="37.5" hidden="false" customHeight="true" outlineLevel="0" collapsed="false">
      <c r="B5" s="3" t="s">
        <v>9</v>
      </c>
      <c r="C5" s="3" t="s">
        <v>10</v>
      </c>
      <c r="D5" s="4" t="n">
        <v>0.17</v>
      </c>
      <c r="E5" s="5"/>
      <c r="F5" s="6" t="str">
        <f aca="false">IF(E5="","",E5/$E$17)</f>
        <v/>
      </c>
      <c r="G5" s="7" t="str">
        <f aca="false">IF(F5="","",(F5-D5)*100)</f>
        <v/>
      </c>
      <c r="H5" s="8" t="str">
        <f aca="false">IF(F5="","",D5*$E$17-E5)</f>
        <v/>
      </c>
      <c r="I5" s="3" t="str">
        <f aca="false">IF(F5="","",IF(ABS(G5)&gt;=5,"触发","—"))</f>
        <v/>
      </c>
    </row>
    <row r="6" customFormat="false" ht="37.5" hidden="false" customHeight="true" outlineLevel="0" collapsed="false">
      <c r="B6" s="9" t="s">
        <v>11</v>
      </c>
      <c r="C6" s="9" t="s">
        <v>12</v>
      </c>
      <c r="D6" s="10" t="n">
        <v>0.15</v>
      </c>
      <c r="E6" s="11"/>
      <c r="F6" s="12" t="str">
        <f aca="false">IF(E6="","",E6/$E$17)</f>
        <v/>
      </c>
      <c r="G6" s="13" t="str">
        <f aca="false">IF(F6="","",(F6-D6)*100)</f>
        <v/>
      </c>
      <c r="H6" s="14" t="str">
        <f aca="false">IF(F6="","",D6*$E$17-E6)</f>
        <v/>
      </c>
      <c r="I6" s="9" t="str">
        <f aca="false">IF(F6="","",IF(ABS(G6)&gt;=5,"触发","—"))</f>
        <v/>
      </c>
    </row>
    <row r="7" customFormat="false" ht="37.5" hidden="false" customHeight="true" outlineLevel="0" collapsed="false">
      <c r="B7" s="3" t="s">
        <v>13</v>
      </c>
      <c r="C7" s="3" t="s">
        <v>12</v>
      </c>
      <c r="D7" s="4" t="n">
        <v>0.12</v>
      </c>
      <c r="E7" s="5"/>
      <c r="F7" s="6" t="str">
        <f aca="false">IF(E7="","",E7/$E$17)</f>
        <v/>
      </c>
      <c r="G7" s="7" t="str">
        <f aca="false">IF(F7="","",(F7-D7)*100)</f>
        <v/>
      </c>
      <c r="H7" s="8" t="str">
        <f aca="false">IF(F7="","",D7*$E$17-E7)</f>
        <v/>
      </c>
      <c r="I7" s="3" t="str">
        <f aca="false">IF(F7="","",IF(ABS(G7)&gt;=5,"触发","—"))</f>
        <v/>
      </c>
    </row>
    <row r="8" customFormat="false" ht="37.5" hidden="false" customHeight="true" outlineLevel="0" collapsed="false">
      <c r="B8" s="9" t="s">
        <v>14</v>
      </c>
      <c r="C8" s="9" t="s">
        <v>12</v>
      </c>
      <c r="D8" s="10" t="n">
        <v>0.12</v>
      </c>
      <c r="E8" s="11"/>
      <c r="F8" s="12" t="str">
        <f aca="false">IF(E8="","",E8/$E$17)</f>
        <v/>
      </c>
      <c r="G8" s="13" t="str">
        <f aca="false">IF(F8="","",(F8-D8)*100)</f>
        <v/>
      </c>
      <c r="H8" s="14" t="str">
        <f aca="false">IF(F8="","",D8*$E$17-E8)</f>
        <v/>
      </c>
      <c r="I8" s="9" t="str">
        <f aca="false">IF(F8="","",IF(ABS(G8)&gt;=5,"触发","—"))</f>
        <v/>
      </c>
    </row>
    <row r="9" customFormat="false" ht="37.5" hidden="false" customHeight="true" outlineLevel="0" collapsed="false">
      <c r="B9" s="3" t="s">
        <v>15</v>
      </c>
      <c r="C9" s="3" t="s">
        <v>12</v>
      </c>
      <c r="D9" s="4" t="n">
        <v>0.08</v>
      </c>
      <c r="E9" s="5"/>
      <c r="F9" s="6" t="str">
        <f aca="false">IF(E9="","",E9/$E$17)</f>
        <v/>
      </c>
      <c r="G9" s="7" t="str">
        <f aca="false">IF(F9="","",(F9-D9)*100)</f>
        <v/>
      </c>
      <c r="H9" s="8" t="str">
        <f aca="false">IF(F9="","",D9*$E$17-E9)</f>
        <v/>
      </c>
      <c r="I9" s="3" t="str">
        <f aca="false">IF(F9="","",IF(ABS(G9)&gt;=5,"触发","—"))</f>
        <v/>
      </c>
    </row>
    <row r="10" customFormat="false" ht="37.5" hidden="false" customHeight="true" outlineLevel="0" collapsed="false">
      <c r="B10" s="9" t="s">
        <v>16</v>
      </c>
      <c r="C10" s="9" t="s">
        <v>12</v>
      </c>
      <c r="D10" s="10" t="n">
        <v>0.08</v>
      </c>
      <c r="E10" s="11"/>
      <c r="F10" s="12" t="str">
        <f aca="false">IF(E10="","",E10/$E$17)</f>
        <v/>
      </c>
      <c r="G10" s="13" t="str">
        <f aca="false">IF(F10="","",(F10-D10)*100)</f>
        <v/>
      </c>
      <c r="H10" s="14" t="str">
        <f aca="false">IF(F10="","",D10*$E$17-E10)</f>
        <v/>
      </c>
      <c r="I10" s="9" t="str">
        <f aca="false">IF(F10="","",IF(ABS(G10)&gt;=5,"触发","—"))</f>
        <v/>
      </c>
    </row>
    <row r="11" customFormat="false" ht="37.5" hidden="false" customHeight="true" outlineLevel="0" collapsed="false">
      <c r="B11" s="3" t="s">
        <v>17</v>
      </c>
      <c r="C11" s="3" t="s">
        <v>12</v>
      </c>
      <c r="D11" s="4" t="n">
        <v>0.08</v>
      </c>
      <c r="E11" s="5"/>
      <c r="F11" s="6" t="str">
        <f aca="false">IF(E11="","",E11/$E$17)</f>
        <v/>
      </c>
      <c r="G11" s="7" t="str">
        <f aca="false">IF(F11="","",(F11-D11)*100)</f>
        <v/>
      </c>
      <c r="H11" s="8" t="str">
        <f aca="false">IF(F11="","",D11*$E$17-E11)</f>
        <v/>
      </c>
      <c r="I11" s="3" t="str">
        <f aca="false">IF(F11="","",IF(ABS(G11)&gt;=5,"触发","—"))</f>
        <v/>
      </c>
    </row>
    <row r="12" customFormat="false" ht="37.5" hidden="false" customHeight="true" outlineLevel="0" collapsed="false">
      <c r="B12" s="9" t="s">
        <v>18</v>
      </c>
      <c r="C12" s="9" t="s">
        <v>12</v>
      </c>
      <c r="D12" s="10" t="n">
        <v>0.05</v>
      </c>
      <c r="E12" s="11"/>
      <c r="F12" s="12" t="str">
        <f aca="false">IF(E12="","",E12/$E$17)</f>
        <v/>
      </c>
      <c r="G12" s="13" t="str">
        <f aca="false">IF(F12="","",(F12-D12)*100)</f>
        <v/>
      </c>
      <c r="H12" s="14" t="str">
        <f aca="false">IF(F12="","",D12*$E$17-E12)</f>
        <v/>
      </c>
      <c r="I12" s="9" t="str">
        <f aca="false">IF(F12="","",IF(ABS(G12)&gt;=5,"触发","—"))</f>
        <v/>
      </c>
    </row>
    <row r="13" customFormat="false" ht="37.5" hidden="false" customHeight="true" outlineLevel="0" collapsed="false">
      <c r="B13" s="3" t="s">
        <v>19</v>
      </c>
      <c r="C13" s="3" t="s">
        <v>20</v>
      </c>
      <c r="D13" s="4" t="n">
        <v>0.05</v>
      </c>
      <c r="E13" s="5"/>
      <c r="F13" s="6" t="str">
        <f aca="false">IF(E13="","",E13/$E$17)</f>
        <v/>
      </c>
      <c r="G13" s="7" t="str">
        <f aca="false">IF(F13="","",(F13-D13)*100)</f>
        <v/>
      </c>
      <c r="H13" s="8" t="str">
        <f aca="false">IF(F13="","",D13*$E$17-E13)</f>
        <v/>
      </c>
      <c r="I13" s="3" t="str">
        <f aca="false">IF(F13="","",IF(ABS(G13)&gt;=5,"触发","—"))</f>
        <v/>
      </c>
    </row>
    <row r="14" customFormat="false" ht="37.5" hidden="false" customHeight="true" outlineLevel="0" collapsed="false">
      <c r="B14" s="9" t="s">
        <v>21</v>
      </c>
      <c r="C14" s="9" t="s">
        <v>22</v>
      </c>
      <c r="D14" s="10" t="n">
        <v>0.04</v>
      </c>
      <c r="E14" s="11"/>
      <c r="F14" s="12" t="str">
        <f aca="false">IF(E14="","",E14/$E$17)</f>
        <v/>
      </c>
      <c r="G14" s="13" t="str">
        <f aca="false">IF(F14="","",(F14-D14)*100)</f>
        <v/>
      </c>
      <c r="H14" s="14" t="str">
        <f aca="false">IF(F14="","",D14*$E$17-E14)</f>
        <v/>
      </c>
      <c r="I14" s="9" t="str">
        <f aca="false">IF(F14="","",IF(ABS(G14)&gt;=5,"触发","—"))</f>
        <v/>
      </c>
    </row>
    <row r="15" customFormat="false" ht="37.5" hidden="false" customHeight="true" outlineLevel="0" collapsed="false">
      <c r="B15" s="3" t="s">
        <v>23</v>
      </c>
      <c r="C15" s="3" t="s">
        <v>22</v>
      </c>
      <c r="D15" s="4" t="n">
        <v>0.04</v>
      </c>
      <c r="E15" s="5"/>
      <c r="F15" s="6" t="str">
        <f aca="false">IF(E15="","",E15/$E$17)</f>
        <v/>
      </c>
      <c r="G15" s="7" t="str">
        <f aca="false">IF(F15="","",(F15-D15)*100)</f>
        <v/>
      </c>
      <c r="H15" s="8" t="str">
        <f aca="false">IF(F15="","",D15*$E$17-E15)</f>
        <v/>
      </c>
      <c r="I15" s="3" t="str">
        <f aca="false">IF(F15="","",IF(ABS(G15)&gt;=5,"触发","—"))</f>
        <v/>
      </c>
    </row>
    <row r="16" customFormat="false" ht="37.5" hidden="false" customHeight="true" outlineLevel="0" collapsed="false">
      <c r="B16" s="9" t="s">
        <v>24</v>
      </c>
      <c r="C16" s="9" t="s">
        <v>22</v>
      </c>
      <c r="D16" s="10" t="n">
        <v>0.02</v>
      </c>
      <c r="E16" s="11"/>
      <c r="F16" s="12" t="str">
        <f aca="false">IF(E16="","",E16/$E$17)</f>
        <v/>
      </c>
      <c r="G16" s="13" t="str">
        <f aca="false">IF(F16="","",(F16-D16)*100)</f>
        <v/>
      </c>
      <c r="H16" s="14" t="str">
        <f aca="false">IF(F16="","",D16*$E$17-E16)</f>
        <v/>
      </c>
      <c r="I16" s="9" t="str">
        <f aca="false">IF(F16="","",IF(ABS(G16)&gt;=5,"触发","—"))</f>
        <v/>
      </c>
    </row>
    <row r="17" customFormat="false" ht="25.5" hidden="false" customHeight="true" outlineLevel="0" collapsed="false">
      <c r="B17" s="15" t="s">
        <v>25</v>
      </c>
      <c r="C17" s="15"/>
      <c r="D17" s="16" t="n">
        <f aca="false">SUM(D5:D16)</f>
        <v>1</v>
      </c>
      <c r="E17" s="17" t="n">
        <f aca="false">SUM(E5:E16)</f>
        <v>0</v>
      </c>
      <c r="F17" s="15"/>
      <c r="G17" s="15"/>
      <c r="H17" s="15"/>
      <c r="I17" s="15"/>
    </row>
    <row r="18" customFormat="false" ht="21.75" hidden="false" customHeight="true" outlineLevel="0" collapsed="false"/>
    <row r="19" customFormat="false" ht="21.75" hidden="false" customHeight="true" outlineLevel="0" collapsed="false">
      <c r="B19" s="18" t="s">
        <v>26</v>
      </c>
    </row>
    <row r="20" customFormat="false" ht="21.75" hidden="false" customHeight="true" outlineLevel="0" collapsed="false">
      <c r="B20" s="18" t="s">
        <v>27</v>
      </c>
    </row>
  </sheetData>
  <mergeCells count="1">
    <mergeCell ref="B2:I2"/>
  </mergeCells>
  <conditionalFormatting sqref="G5:G16">
    <cfRule type="cellIs" priority="2" operator="greaterThan" aboveAverage="0" equalAverage="0" bottom="0" percent="0" rank="0" text="" dxfId="0">
      <formula>5</formula>
    </cfRule>
    <cfRule type="cellIs" priority="3" operator="lessThan" aboveAverage="0" equalAverage="0" bottom="0" percent="0" rank="0" text="" dxfId="0">
      <formula>-5</formula>
    </cfRule>
  </conditionalFormatting>
  <conditionalFormatting sqref="I5:I16">
    <cfRule type="cellIs" priority="4" operator="equal" aboveAverage="0" equalAverage="0" bottom="0" percent="0" rank="0" text="" dxfId="0">
      <formula>"触发"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" min="1" style="0" width="2.73"/>
    <col collapsed="false" customWidth="true" hidden="false" outlineLevel="0" max="2" min="2" style="0" width="25.47"/>
    <col collapsed="false" customWidth="true" hidden="false" outlineLevel="0" max="3" min="3" style="0" width="14.38"/>
    <col collapsed="false" customWidth="true" hidden="false" outlineLevel="0" max="4" min="4" style="0" width="12.74"/>
    <col collapsed="false" customWidth="true" hidden="false" outlineLevel="0" max="5" min="5" style="0" width="19.11"/>
    <col collapsed="false" customWidth="true" hidden="false" outlineLevel="0" max="6" min="6" style="0" width="25.47"/>
    <col collapsed="false" customWidth="true" hidden="false" outlineLevel="0" max="7" min="7" style="0" width="12.74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28</v>
      </c>
      <c r="C2" s="1"/>
      <c r="D2" s="1"/>
      <c r="E2" s="1"/>
      <c r="F2" s="1"/>
      <c r="G2" s="1"/>
    </row>
    <row r="3" customFormat="false" ht="7.5" hidden="false" customHeight="true" outlineLevel="0" collapsed="false">
      <c r="B3" s="19" t="s">
        <v>29</v>
      </c>
      <c r="C3" s="20" t="n">
        <v>10000</v>
      </c>
    </row>
    <row r="4" customFormat="false" ht="27.75" hidden="false" customHeight="true" outlineLevel="0" collapsed="false">
      <c r="B4" s="2" t="s">
        <v>1</v>
      </c>
      <c r="C4" s="2" t="s">
        <v>3</v>
      </c>
      <c r="D4" s="2" t="s">
        <v>30</v>
      </c>
      <c r="E4" s="2" t="s">
        <v>31</v>
      </c>
      <c r="F4" s="2" t="s">
        <v>32</v>
      </c>
      <c r="G4" s="2" t="s">
        <v>33</v>
      </c>
    </row>
    <row r="5" customFormat="false" ht="54" hidden="false" customHeight="true" outlineLevel="0" collapsed="false">
      <c r="B5" s="3" t="s">
        <v>9</v>
      </c>
      <c r="C5" s="21" t="n">
        <f aca="false">配置总览!D5</f>
        <v>0.17</v>
      </c>
      <c r="D5" s="22" t="n">
        <f aca="false">C5*$C$3</f>
        <v>1700</v>
      </c>
      <c r="E5" s="23"/>
      <c r="F5" s="24" t="n">
        <f aca="false">IF(E5="",1,IF(E5&lt;0.2,2,IF(E5&lt;0.4,1.5,IF(E5&lt;0.6,1,IF(E5&lt;0.8,0.5,0)))))</f>
        <v>1</v>
      </c>
      <c r="G5" s="22" t="n">
        <f aca="false">D5*F5</f>
        <v>1700</v>
      </c>
    </row>
    <row r="6" customFormat="false" ht="54" hidden="false" customHeight="true" outlineLevel="0" collapsed="false">
      <c r="B6" s="9" t="s">
        <v>11</v>
      </c>
      <c r="C6" s="25" t="n">
        <f aca="false">配置总览!D6</f>
        <v>0.15</v>
      </c>
      <c r="D6" s="26" t="n">
        <f aca="false">C6*$C$3</f>
        <v>1500</v>
      </c>
      <c r="E6" s="27"/>
      <c r="F6" s="28" t="n">
        <f aca="false">IF(E6="",1,IF(E6&lt;0.2,2,IF(E6&lt;0.4,1.5,IF(E6&lt;0.6,1,IF(E6&lt;0.8,0.5,0)))))</f>
        <v>1</v>
      </c>
      <c r="G6" s="26" t="n">
        <f aca="false">D6*F6</f>
        <v>1500</v>
      </c>
    </row>
    <row r="7" customFormat="false" ht="54" hidden="false" customHeight="true" outlineLevel="0" collapsed="false">
      <c r="B7" s="3" t="s">
        <v>13</v>
      </c>
      <c r="C7" s="21" t="n">
        <f aca="false">配置总览!D7</f>
        <v>0.12</v>
      </c>
      <c r="D7" s="22" t="n">
        <f aca="false">C7*$C$3</f>
        <v>1200</v>
      </c>
      <c r="E7" s="23" t="n">
        <v>0.484973240016468</v>
      </c>
      <c r="F7" s="24" t="n">
        <f aca="false">IF(E7="",1,IF(E7&lt;0.2,2,IF(E7&lt;0.4,1.5,IF(E7&lt;0.6,1,IF(E7&lt;0.8,0.5,0)))))</f>
        <v>1</v>
      </c>
      <c r="G7" s="22" t="n">
        <f aca="false">D7*F7</f>
        <v>1200</v>
      </c>
    </row>
    <row r="8" customFormat="false" ht="54" hidden="false" customHeight="true" outlineLevel="0" collapsed="false">
      <c r="B8" s="9" t="s">
        <v>14</v>
      </c>
      <c r="C8" s="25" t="n">
        <f aca="false">配置总览!D8</f>
        <v>0.12</v>
      </c>
      <c r="D8" s="26" t="n">
        <f aca="false">C8*$C$3</f>
        <v>1200</v>
      </c>
      <c r="E8" s="27" t="n">
        <v>1</v>
      </c>
      <c r="F8" s="28" t="n">
        <f aca="false">IF(E8="",1,IF(E8&lt;0.2,2,IF(E8&lt;0.4,1.5,IF(E8&lt;0.6,1,IF(E8&lt;0.8,0.5,0)))))</f>
        <v>0</v>
      </c>
      <c r="G8" s="26" t="n">
        <f aca="false">D8*F8</f>
        <v>0</v>
      </c>
    </row>
    <row r="9" customFormat="false" ht="54" hidden="false" customHeight="true" outlineLevel="0" collapsed="false">
      <c r="B9" s="3" t="s">
        <v>15</v>
      </c>
      <c r="C9" s="21" t="n">
        <f aca="false">配置总览!D9</f>
        <v>0.08</v>
      </c>
      <c r="D9" s="22" t="n">
        <f aca="false">C9*$C$3</f>
        <v>800</v>
      </c>
      <c r="E9" s="23" t="n">
        <v>0.708641975308642</v>
      </c>
      <c r="F9" s="24" t="n">
        <f aca="false">IF(E9="",1,IF(E9&lt;0.2,2,IF(E9&lt;0.4,1.5,IF(E9&lt;0.6,1,IF(E9&lt;0.8,0.5,0)))))</f>
        <v>0.5</v>
      </c>
      <c r="G9" s="22" t="n">
        <f aca="false">D9*F9</f>
        <v>400</v>
      </c>
    </row>
    <row r="10" customFormat="false" ht="54" hidden="false" customHeight="true" outlineLevel="0" collapsed="false">
      <c r="B10" s="9" t="s">
        <v>16</v>
      </c>
      <c r="C10" s="25" t="n">
        <f aca="false">配置总览!D10</f>
        <v>0.08</v>
      </c>
      <c r="D10" s="26" t="n">
        <f aca="false">C10*$C$3</f>
        <v>800</v>
      </c>
      <c r="E10" s="27" t="n">
        <v>1</v>
      </c>
      <c r="F10" s="28" t="n">
        <f aca="false">IF(E10="",1,IF(E10&lt;0.2,2,IF(E10&lt;0.4,1.5,IF(E10&lt;0.6,1,IF(E10&lt;0.8,0.5,0)))))</f>
        <v>0</v>
      </c>
      <c r="G10" s="26" t="n">
        <f aca="false">D10*F10</f>
        <v>0</v>
      </c>
    </row>
    <row r="11" customFormat="false" ht="54" hidden="false" customHeight="true" outlineLevel="0" collapsed="false">
      <c r="B11" s="3" t="s">
        <v>17</v>
      </c>
      <c r="C11" s="21" t="n">
        <f aca="false">配置总览!D11</f>
        <v>0.08</v>
      </c>
      <c r="D11" s="22" t="n">
        <f aca="false">C11*$C$3</f>
        <v>800</v>
      </c>
      <c r="E11" s="23"/>
      <c r="F11" s="24" t="n">
        <f aca="false">IF(E11="",1,IF(E11&lt;0.2,2,IF(E11&lt;0.4,1.5,IF(E11&lt;0.6,1,IF(E11&lt;0.8,0.5,0)))))</f>
        <v>1</v>
      </c>
      <c r="G11" s="22" t="n">
        <f aca="false">D11*F11</f>
        <v>800</v>
      </c>
    </row>
    <row r="12" customFormat="false" ht="54" hidden="false" customHeight="true" outlineLevel="0" collapsed="false">
      <c r="B12" s="9" t="s">
        <v>18</v>
      </c>
      <c r="C12" s="25" t="n">
        <f aca="false">配置总览!D12</f>
        <v>0.05</v>
      </c>
      <c r="D12" s="26" t="n">
        <f aca="false">C12*$C$3</f>
        <v>500</v>
      </c>
      <c r="E12" s="27" t="n">
        <v>0.838895756077462</v>
      </c>
      <c r="F12" s="28" t="n">
        <f aca="false">IF(E12="",1,IF(E12&lt;0.2,2,IF(E12&lt;0.4,1.5,IF(E12&lt;0.6,1,IF(E12&lt;0.8,0.5,0)))))</f>
        <v>0</v>
      </c>
      <c r="G12" s="26" t="n">
        <f aca="false">D12*F12</f>
        <v>0</v>
      </c>
    </row>
    <row r="13" customFormat="false" ht="54" hidden="false" customHeight="true" outlineLevel="0" collapsed="false">
      <c r="B13" s="3" t="s">
        <v>19</v>
      </c>
      <c r="C13" s="21" t="n">
        <f aca="false">配置总览!D13</f>
        <v>0.05</v>
      </c>
      <c r="D13" s="22" t="n">
        <f aca="false">C13*$C$3</f>
        <v>500</v>
      </c>
      <c r="E13" s="23" t="n">
        <v>0.747325102880659</v>
      </c>
      <c r="F13" s="24" t="n">
        <f aca="false">IF(E13="",1,IF(E13&lt;0.2,2,IF(E13&lt;0.4,1.5,IF(E13&lt;0.6,1,IF(E13&lt;0.8,0.5,0)))))</f>
        <v>0.5</v>
      </c>
      <c r="G13" s="22" t="n">
        <f aca="false">D13*F13</f>
        <v>250</v>
      </c>
    </row>
    <row r="14" customFormat="false" ht="54" hidden="false" customHeight="true" outlineLevel="0" collapsed="false">
      <c r="B14" s="9" t="s">
        <v>21</v>
      </c>
      <c r="C14" s="25" t="n">
        <f aca="false">配置总览!D14</f>
        <v>0.04</v>
      </c>
      <c r="D14" s="26" t="n">
        <f aca="false">C14*$C$3</f>
        <v>400</v>
      </c>
      <c r="E14" s="27" t="n">
        <v>0.611111111111111</v>
      </c>
      <c r="F14" s="28" t="n">
        <f aca="false">IF(E14="",1,IF(E14&lt;0.2,2,IF(E14&lt;0.4,1.5,IF(E14&lt;0.6,1,IF(E14&lt;0.8,0.5,0)))))</f>
        <v>0.5</v>
      </c>
      <c r="G14" s="26" t="n">
        <f aca="false">D14*F14</f>
        <v>200</v>
      </c>
    </row>
    <row r="15" customFormat="false" ht="54" hidden="false" customHeight="true" outlineLevel="0" collapsed="false">
      <c r="B15" s="3" t="s">
        <v>23</v>
      </c>
      <c r="C15" s="21" t="n">
        <f aca="false">配置总览!D15</f>
        <v>0.04</v>
      </c>
      <c r="D15" s="22" t="n">
        <f aca="false">C15*$C$3</f>
        <v>400</v>
      </c>
      <c r="E15" s="23" t="n">
        <v>0.25833703868386</v>
      </c>
      <c r="F15" s="24" t="n">
        <f aca="false">IF(E15="",1,IF(E15&lt;0.2,2,IF(E15&lt;0.4,1.5,IF(E15&lt;0.6,1,IF(E15&lt;0.8,0.5,0)))))</f>
        <v>1.5</v>
      </c>
      <c r="G15" s="22" t="n">
        <f aca="false">D15*F15</f>
        <v>600</v>
      </c>
    </row>
    <row r="16" customFormat="false" ht="54" hidden="false" customHeight="true" outlineLevel="0" collapsed="false">
      <c r="B16" s="9" t="s">
        <v>24</v>
      </c>
      <c r="C16" s="25" t="n">
        <f aca="false">配置总览!D16</f>
        <v>0.02</v>
      </c>
      <c r="D16" s="26" t="n">
        <f aca="false">C16*$C$3</f>
        <v>200</v>
      </c>
      <c r="E16" s="27" t="n">
        <v>0.14156378600823</v>
      </c>
      <c r="F16" s="28" t="n">
        <f aca="false">IF(E16="",1,IF(E16&lt;0.2,2,IF(E16&lt;0.4,1.5,IF(E16&lt;0.6,1,IF(E16&lt;0.8,0.5,0)))))</f>
        <v>2</v>
      </c>
      <c r="G16" s="26" t="n">
        <f aca="false">D16*F16</f>
        <v>400</v>
      </c>
    </row>
    <row r="17" customFormat="false" ht="25.5" hidden="false" customHeight="true" outlineLevel="0" collapsed="false">
      <c r="B17" s="15" t="s">
        <v>25</v>
      </c>
      <c r="C17" s="15"/>
      <c r="D17" s="17" t="n">
        <f aca="false">SUM(D5:D16)</f>
        <v>10000</v>
      </c>
      <c r="E17" s="15"/>
      <c r="F17" s="15"/>
      <c r="G17" s="17" t="n">
        <f aca="false">SUM(G5:G16)</f>
        <v>7050</v>
      </c>
    </row>
    <row r="18" customFormat="false" ht="21.75" hidden="false" customHeight="true" outlineLevel="0" collapsed="false"/>
    <row r="19" customFormat="false" ht="21.75" hidden="false" customHeight="true" outlineLevel="0" collapsed="false">
      <c r="B19" s="18" t="s">
        <v>34</v>
      </c>
    </row>
    <row r="20" customFormat="false" ht="21.75" hidden="false" customHeight="true" outlineLevel="0" collapsed="false">
      <c r="B20" s="18" t="s">
        <v>35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" min="1" style="0" width="2.73"/>
    <col collapsed="false" customWidth="true" hidden="false" outlineLevel="0" max="2" min="2" style="0" width="25.47"/>
    <col collapsed="false" customWidth="true" hidden="false" outlineLevel="0" max="3" min="3" style="0" width="10.92"/>
    <col collapsed="false" customWidth="true" hidden="false" outlineLevel="0" max="4" min="4" style="0" width="8.01"/>
    <col collapsed="false" customWidth="true" hidden="false" outlineLevel="0" max="5" min="5" style="0" width="7.28"/>
    <col collapsed="false" customWidth="true" hidden="false" outlineLevel="0" max="6" min="6" style="0" width="20.93"/>
    <col collapsed="false" customWidth="true" hidden="false" outlineLevel="0" max="7" min="7" style="0" width="25.47"/>
    <col collapsed="false" customWidth="true" hidden="false" outlineLevel="0" max="8" min="8" style="0" width="10.92"/>
    <col collapsed="false" customWidth="true" hidden="false" outlineLevel="0" max="9" min="9" style="0" width="25.47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36</v>
      </c>
      <c r="C2" s="1"/>
      <c r="D2" s="1"/>
      <c r="E2" s="1"/>
      <c r="F2" s="1"/>
      <c r="G2" s="1"/>
      <c r="H2" s="1"/>
      <c r="I2" s="1"/>
    </row>
    <row r="3" customFormat="false" ht="7.5" hidden="false" customHeight="true" outlineLevel="0" collapsed="false"/>
    <row r="4" customFormat="false" ht="27.75" hidden="false" customHeight="true" outlineLevel="0" collapsed="false">
      <c r="B4" s="2" t="s">
        <v>1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</row>
    <row r="5" customFormat="false" ht="69.75" hidden="false" customHeight="true" outlineLevel="0" collapsed="false">
      <c r="B5" s="3" t="s">
        <v>13</v>
      </c>
      <c r="C5" s="3" t="s">
        <v>44</v>
      </c>
      <c r="D5" s="3" t="s">
        <v>45</v>
      </c>
      <c r="E5" s="29"/>
      <c r="F5" s="4" t="n">
        <v>0.484973240016468</v>
      </c>
      <c r="G5" s="3" t="str">
        <f aca="false">IF(F5="","",IF(F5&lt;0.2,"低估",IF(F5&lt;0.4,"合理偏低",IF(F5&lt;0.6,"合理",IF(F5&lt;0.8,"合理偏高","高估")))))</f>
        <v>合理</v>
      </c>
      <c r="H5" s="3" t="s">
        <v>46</v>
      </c>
      <c r="I5" s="3"/>
    </row>
    <row r="6" customFormat="false" ht="69.75" hidden="false" customHeight="true" outlineLevel="0" collapsed="false">
      <c r="B6" s="9" t="s">
        <v>15</v>
      </c>
      <c r="C6" s="9" t="s">
        <v>47</v>
      </c>
      <c r="D6" s="9" t="s">
        <v>45</v>
      </c>
      <c r="E6" s="30"/>
      <c r="F6" s="10" t="n">
        <v>0.708641975308642</v>
      </c>
      <c r="G6" s="9" t="str">
        <f aca="false">IF(F6="","",IF(F6&lt;0.2,"低估",IF(F6&lt;0.4,"合理偏低",IF(F6&lt;0.6,"合理",IF(F6&lt;0.8,"合理偏高","高估")))))</f>
        <v>合理偏高</v>
      </c>
      <c r="H6" s="9" t="s">
        <v>46</v>
      </c>
      <c r="I6" s="9"/>
    </row>
    <row r="7" customFormat="false" ht="69.75" hidden="false" customHeight="true" outlineLevel="0" collapsed="false">
      <c r="B7" s="3" t="s">
        <v>18</v>
      </c>
      <c r="C7" s="3" t="s">
        <v>48</v>
      </c>
      <c r="D7" s="3" t="s">
        <v>45</v>
      </c>
      <c r="E7" s="29"/>
      <c r="F7" s="4" t="n">
        <v>0.838895756077462</v>
      </c>
      <c r="G7" s="3" t="str">
        <f aca="false">IF(F7="","",IF(F7&lt;0.2,"低估",IF(F7&lt;0.4,"合理偏低",IF(F7&lt;0.6,"合理",IF(F7&lt;0.8,"合理偏高","高估")))))</f>
        <v>高估</v>
      </c>
      <c r="H7" s="3" t="s">
        <v>46</v>
      </c>
      <c r="I7" s="3" t="s">
        <v>49</v>
      </c>
    </row>
    <row r="8" customFormat="false" ht="69.75" hidden="false" customHeight="true" outlineLevel="0" collapsed="false">
      <c r="B8" s="9" t="s">
        <v>19</v>
      </c>
      <c r="C8" s="9" t="s">
        <v>50</v>
      </c>
      <c r="D8" s="9" t="s">
        <v>45</v>
      </c>
      <c r="E8" s="30"/>
      <c r="F8" s="10" t="n">
        <v>0.747325102880659</v>
      </c>
      <c r="G8" s="9" t="str">
        <f aca="false">IF(F8="","",IF(F8&lt;0.2,"低估",IF(F8&lt;0.4,"合理偏低",IF(F8&lt;0.6,"合理",IF(F8&lt;0.8,"合理偏高","高估")))))</f>
        <v>合理偏高</v>
      </c>
      <c r="H8" s="9" t="s">
        <v>46</v>
      </c>
      <c r="I8" s="9"/>
    </row>
    <row r="9" customFormat="false" ht="69.75" hidden="false" customHeight="true" outlineLevel="0" collapsed="false">
      <c r="B9" s="3" t="s">
        <v>14</v>
      </c>
      <c r="C9" s="3" t="s">
        <v>51</v>
      </c>
      <c r="D9" s="3" t="s">
        <v>52</v>
      </c>
      <c r="E9" s="29"/>
      <c r="F9" s="4" t="n">
        <v>1</v>
      </c>
      <c r="G9" s="3" t="str">
        <f aca="false">IF(F9="","",IF(F9&lt;0.2,"低估",IF(F9&lt;0.4,"合理偏低",IF(F9&lt;0.6,"合理",IF(F9&lt;0.8,"合理偏高","高估")))))</f>
        <v>高估</v>
      </c>
      <c r="H9" s="3" t="s">
        <v>53</v>
      </c>
      <c r="I9" s="3"/>
    </row>
    <row r="10" customFormat="false" ht="85.5" hidden="false" customHeight="true" outlineLevel="0" collapsed="false">
      <c r="B10" s="9" t="s">
        <v>16</v>
      </c>
      <c r="C10" s="9" t="s">
        <v>54</v>
      </c>
      <c r="D10" s="9" t="s">
        <v>55</v>
      </c>
      <c r="E10" s="30"/>
      <c r="F10" s="10" t="n">
        <v>1</v>
      </c>
      <c r="G10" s="9" t="str">
        <f aca="false">IF(F10="","",IF(F10&lt;0.2,"低估",IF(F10&lt;0.4,"合理偏低",IF(F10&lt;0.6,"合理",IF(F10&lt;0.8,"合理偏高","高估")))))</f>
        <v>高估</v>
      </c>
      <c r="H10" s="9" t="s">
        <v>53</v>
      </c>
      <c r="I10" s="9" t="s">
        <v>56</v>
      </c>
    </row>
    <row r="11" customFormat="false" ht="85.5" hidden="false" customHeight="true" outlineLevel="0" collapsed="false">
      <c r="B11" s="3" t="s">
        <v>57</v>
      </c>
      <c r="C11" s="3" t="s">
        <v>58</v>
      </c>
      <c r="D11" s="3" t="s">
        <v>45</v>
      </c>
      <c r="E11" s="29"/>
      <c r="F11" s="4" t="n">
        <v>0.134156378600823</v>
      </c>
      <c r="G11" s="3" t="str">
        <f aca="false">IF(F11="","",IF(F11&lt;0.2,"低估",IF(F11&lt;0.4,"合理偏低",IF(F11&lt;0.6,"合理",IF(F11&lt;0.8,"合理偏高","高估")))))</f>
        <v>低估</v>
      </c>
      <c r="H11" s="3" t="s">
        <v>46</v>
      </c>
      <c r="I11" s="3"/>
    </row>
    <row r="12" customFormat="false" ht="85.5" hidden="false" customHeight="true" outlineLevel="0" collapsed="false">
      <c r="B12" s="9" t="s">
        <v>24</v>
      </c>
      <c r="C12" s="9" t="s">
        <v>59</v>
      </c>
      <c r="D12" s="9" t="s">
        <v>45</v>
      </c>
      <c r="E12" s="30"/>
      <c r="F12" s="10" t="n">
        <v>0.14156378600823</v>
      </c>
      <c r="G12" s="9" t="str">
        <f aca="false">IF(F12="","",IF(F12&lt;0.2,"低估",IF(F12&lt;0.4,"合理偏低",IF(F12&lt;0.6,"合理",IF(F12&lt;0.8,"合理偏高","高估")))))</f>
        <v>低估</v>
      </c>
      <c r="H12" s="9" t="s">
        <v>46</v>
      </c>
      <c r="I12" s="9"/>
    </row>
    <row r="13" customFormat="false" ht="85.5" hidden="false" customHeight="true" outlineLevel="0" collapsed="false">
      <c r="B13" s="3" t="s">
        <v>21</v>
      </c>
      <c r="C13" s="3" t="s">
        <v>60</v>
      </c>
      <c r="D13" s="3" t="s">
        <v>45</v>
      </c>
      <c r="E13" s="29"/>
      <c r="F13" s="4" t="n">
        <v>0.611111111111111</v>
      </c>
      <c r="G13" s="3" t="str">
        <f aca="false">IF(F13="","",IF(F13&lt;0.2,"低估",IF(F13&lt;0.4,"合理偏低",IF(F13&lt;0.6,"合理",IF(F13&lt;0.8,"合理偏高","高估")))))</f>
        <v>合理偏高</v>
      </c>
      <c r="H13" s="3" t="s">
        <v>46</v>
      </c>
      <c r="I13" s="3"/>
    </row>
    <row r="14" customFormat="false" ht="85.5" hidden="false" customHeight="true" outlineLevel="0" collapsed="false">
      <c r="B14" s="9" t="s">
        <v>61</v>
      </c>
      <c r="C14" s="9" t="s">
        <v>62</v>
      </c>
      <c r="D14" s="9" t="s">
        <v>45</v>
      </c>
      <c r="E14" s="30"/>
      <c r="F14" s="10" t="n">
        <v>0.109465020576132</v>
      </c>
      <c r="G14" s="9" t="str">
        <f aca="false">IF(F14="","",IF(F14&lt;0.2,"低估",IF(F14&lt;0.4,"合理偏低",IF(F14&lt;0.6,"合理",IF(F14&lt;0.8,"合理偏高","高估")))))</f>
        <v>低估</v>
      </c>
      <c r="H14" s="9" t="s">
        <v>46</v>
      </c>
      <c r="I14" s="9"/>
    </row>
    <row r="15" customFormat="false" ht="85.5" hidden="false" customHeight="true" outlineLevel="0" collapsed="false">
      <c r="B15" s="3" t="s">
        <v>63</v>
      </c>
      <c r="C15" s="3" t="s">
        <v>64</v>
      </c>
      <c r="D15" s="3" t="s">
        <v>45</v>
      </c>
      <c r="E15" s="29"/>
      <c r="F15" s="4" t="n">
        <v>0.28559670781893</v>
      </c>
      <c r="G15" s="3" t="str">
        <f aca="false">IF(F15="","",IF(F15&lt;0.2,"低估",IF(F15&lt;0.4,"合理偏低",IF(F15&lt;0.6,"合理",IF(F15&lt;0.8,"合理偏高","高估")))))</f>
        <v>合理偏低</v>
      </c>
      <c r="H15" s="3" t="s">
        <v>46</v>
      </c>
      <c r="I15" s="3"/>
    </row>
    <row r="16" customFormat="false" ht="85.5" hidden="false" customHeight="true" outlineLevel="0" collapsed="false">
      <c r="B16" s="9" t="s">
        <v>65</v>
      </c>
      <c r="C16" s="9" t="s">
        <v>66</v>
      </c>
      <c r="D16" s="9" t="s">
        <v>45</v>
      </c>
      <c r="E16" s="30"/>
      <c r="F16" s="10" t="n">
        <v>0.00123456790123457</v>
      </c>
      <c r="G16" s="9" t="str">
        <f aca="false">IF(F16="","",IF(F16&lt;0.2,"低估",IF(F16&lt;0.4,"合理偏低",IF(F16&lt;0.6,"合理",IF(F16&lt;0.8,"合理偏高","高估")))))</f>
        <v>低估</v>
      </c>
      <c r="H16" s="9" t="s">
        <v>46</v>
      </c>
      <c r="I16" s="9"/>
    </row>
    <row r="17" customFormat="false" ht="85.5" hidden="false" customHeight="true" outlineLevel="0" collapsed="false">
      <c r="B17" s="3" t="s">
        <v>23</v>
      </c>
      <c r="C17" s="3" t="s">
        <v>67</v>
      </c>
      <c r="D17" s="3" t="s">
        <v>45</v>
      </c>
      <c r="E17" s="29"/>
      <c r="F17" s="4" t="n">
        <v>0.25833703868386</v>
      </c>
      <c r="G17" s="3" t="str">
        <f aca="false">IF(F17="","",IF(F17&lt;0.2,"低估",IF(F17&lt;0.4,"合理偏低",IF(F17&lt;0.6,"合理",IF(F17&lt;0.8,"合理偏高","高估")))))</f>
        <v>合理偏低</v>
      </c>
      <c r="H17" s="3" t="s">
        <v>46</v>
      </c>
      <c r="I17" s="3"/>
    </row>
    <row r="18" customFormat="false" ht="85.5" hidden="false" customHeight="true" outlineLevel="0" collapsed="false">
      <c r="B18" s="9" t="s">
        <v>68</v>
      </c>
      <c r="C18" s="9" t="s">
        <v>69</v>
      </c>
      <c r="D18" s="9" t="s">
        <v>55</v>
      </c>
      <c r="E18" s="30"/>
      <c r="F18" s="10" t="n">
        <v>0.293492695883134</v>
      </c>
      <c r="G18" s="9" t="str">
        <f aca="false">IF(F18="","",IF(F18&lt;0.2,"低估",IF(F18&lt;0.4,"合理偏低",IF(F18&lt;0.6,"合理",IF(F18&lt;0.8,"合理偏高","高估")))))</f>
        <v>合理偏低</v>
      </c>
      <c r="H18" s="9" t="s">
        <v>53</v>
      </c>
      <c r="I18" s="9" t="s">
        <v>56</v>
      </c>
    </row>
    <row r="19" customFormat="false" ht="85.5" hidden="false" customHeight="true" outlineLevel="0" collapsed="false">
      <c r="B19" s="3" t="s">
        <v>70</v>
      </c>
      <c r="C19" s="3" t="s">
        <v>71</v>
      </c>
      <c r="D19" s="3" t="s">
        <v>55</v>
      </c>
      <c r="E19" s="29"/>
      <c r="F19" s="4"/>
      <c r="G19" s="3" t="str">
        <f aca="false">IF(F19="","",IF(F19&lt;0.2,"低估",IF(F19&lt;0.4,"合理偏低",IF(F19&lt;0.6,"合理",IF(F19&lt;0.8,"合理偏高","高估")))))</f>
        <v/>
      </c>
      <c r="H19" s="3"/>
      <c r="I19" s="3" t="s">
        <v>72</v>
      </c>
    </row>
    <row r="20" customFormat="false" ht="21.75" hidden="false" customHeight="true" outlineLevel="0" collapsed="false"/>
    <row r="21" customFormat="false" ht="21.75" hidden="false" customHeight="true" outlineLevel="0" collapsed="false"/>
    <row r="22" customFormat="false" ht="21.75" hidden="false" customHeight="true" outlineLevel="0" collapsed="false">
      <c r="B22" s="18" t="s">
        <v>73</v>
      </c>
    </row>
  </sheetData>
  <mergeCells count="1">
    <mergeCell ref="B2:I2"/>
  </mergeCells>
  <conditionalFormatting sqref="F5:F19">
    <cfRule type="colorScale" priority="2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" min="1" style="0" width="2.73"/>
    <col collapsed="false" customWidth="true" hidden="false" outlineLevel="0" max="2" min="2" style="0" width="25.47"/>
    <col collapsed="false" customWidth="true" hidden="false" outlineLevel="0" max="6" min="3" style="0" width="7.28"/>
    <col collapsed="false" customWidth="true" hidden="false" outlineLevel="0" max="8" min="7" style="0" width="25.47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74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27.75" hidden="false" customHeight="true" outlineLevel="0" collapsed="false">
      <c r="B4" s="2" t="s">
        <v>1</v>
      </c>
      <c r="C4" s="2" t="s">
        <v>75</v>
      </c>
      <c r="D4" s="2" t="s">
        <v>76</v>
      </c>
      <c r="E4" s="2" t="s">
        <v>77</v>
      </c>
      <c r="F4" s="2" t="s">
        <v>78</v>
      </c>
      <c r="G4" s="2" t="s">
        <v>79</v>
      </c>
      <c r="H4" s="2" t="s">
        <v>80</v>
      </c>
    </row>
    <row r="5" customFormat="false" ht="150" hidden="false" customHeight="true" outlineLevel="0" collapsed="false">
      <c r="B5" s="3" t="s">
        <v>13</v>
      </c>
      <c r="C5" s="31" t="n">
        <v>51.5</v>
      </c>
      <c r="D5" s="31" t="n">
        <v>62</v>
      </c>
      <c r="E5" s="31" t="n">
        <v>33</v>
      </c>
      <c r="F5" s="31" t="n">
        <v>50</v>
      </c>
      <c r="G5" s="31" t="n">
        <f aca="false">IF(COUNT(C5:F5)=0,"—",ROUND((IF(ISNUMBER(C5),C5*40,0)+IF(ISNUMBER(D5),D5*30,0)+IF(ISNUMBER(E5),E5*15,0)+IF(ISNUMBER(F5),F5*15,0))/(IF(ISNUMBER(C5),40,0)+IF(ISNUMBER(D5),30,0)+IF(ISNUMBER(E5),15,0)+IF(ISNUMBER(F5),15,0)),1))</f>
        <v>51.7</v>
      </c>
      <c r="H5" s="3" t="str">
        <f aca="false">IF(G5="—","待补数据",IF(G5&gt;=65,"偏多：按倍数定投/持有",IF(G5&lt;=40,"偏空：控制仓位","中性：按计划定投")))</f>
        <v>中性：按计划定投</v>
      </c>
    </row>
    <row r="6" customFormat="false" ht="150" hidden="false" customHeight="true" outlineLevel="0" collapsed="false">
      <c r="B6" s="9" t="s">
        <v>15</v>
      </c>
      <c r="C6" s="32" t="n">
        <v>29.1</v>
      </c>
      <c r="D6" s="32" t="n">
        <v>67.9</v>
      </c>
      <c r="E6" s="32" t="n">
        <v>32.9</v>
      </c>
      <c r="F6" s="32" t="n">
        <v>50</v>
      </c>
      <c r="G6" s="32" t="n">
        <f aca="false">IF(COUNT(C6:F6)=0,"—",ROUND((IF(ISNUMBER(C6),C6*40,0)+IF(ISNUMBER(D6),D6*30,0)+IF(ISNUMBER(E6),E6*15,0)+IF(ISNUMBER(F6),F6*15,0))/(IF(ISNUMBER(C6),40,0)+IF(ISNUMBER(D6),30,0)+IF(ISNUMBER(E6),15,0)+IF(ISNUMBER(F6),15,0)),1))</f>
        <v>44.4</v>
      </c>
      <c r="H6" s="9" t="str">
        <f aca="false">IF(G6="—","待补数据",IF(G6&gt;=65,"偏多：按倍数定投/持有",IF(G6&lt;=40,"偏空：控制仓位","中性：按计划定投")))</f>
        <v>中性：按计划定投</v>
      </c>
    </row>
    <row r="7" customFormat="false" ht="150" hidden="false" customHeight="true" outlineLevel="0" collapsed="false">
      <c r="B7" s="3" t="s">
        <v>18</v>
      </c>
      <c r="C7" s="31" t="n">
        <v>16.1</v>
      </c>
      <c r="D7" s="31" t="n">
        <v>72.1</v>
      </c>
      <c r="E7" s="31" t="n">
        <v>36.7</v>
      </c>
      <c r="F7" s="31" t="n">
        <v>50</v>
      </c>
      <c r="G7" s="31" t="n">
        <f aca="false">IF(COUNT(C7:F7)=0,"—",ROUND((IF(ISNUMBER(C7),C7*40,0)+IF(ISNUMBER(D7),D7*30,0)+IF(ISNUMBER(E7),E7*15,0)+IF(ISNUMBER(F7),F7*15,0))/(IF(ISNUMBER(C7),40,0)+IF(ISNUMBER(D7),30,0)+IF(ISNUMBER(E7),15,0)+IF(ISNUMBER(F7),15,0)),1))</f>
        <v>41.1</v>
      </c>
      <c r="H7" s="3" t="str">
        <f aca="false">IF(G7="—","待补数据",IF(G7&gt;=65,"偏多：按倍数定投/持有",IF(G7&lt;=40,"偏空：控制仓位","中性：按计划定投")))</f>
        <v>中性：按计划定投</v>
      </c>
    </row>
    <row r="8" customFormat="false" ht="150" hidden="false" customHeight="true" outlineLevel="0" collapsed="false">
      <c r="B8" s="9" t="s">
        <v>19</v>
      </c>
      <c r="C8" s="32" t="n">
        <v>25.3</v>
      </c>
      <c r="D8" s="32" t="n">
        <v>57.5</v>
      </c>
      <c r="E8" s="32" t="n">
        <v>39.5</v>
      </c>
      <c r="F8" s="32" t="n">
        <v>50</v>
      </c>
      <c r="G8" s="32" t="n">
        <f aca="false">IF(COUNT(C8:F8)=0,"—",ROUND((IF(ISNUMBER(C8),C8*40,0)+IF(ISNUMBER(D8),D8*30,0)+IF(ISNUMBER(E8),E8*15,0)+IF(ISNUMBER(F8),F8*15,0))/(IF(ISNUMBER(C8),40,0)+IF(ISNUMBER(D8),30,0)+IF(ISNUMBER(E8),15,0)+IF(ISNUMBER(F8),15,0)),1))</f>
        <v>40.8</v>
      </c>
      <c r="H8" s="9" t="str">
        <f aca="false">IF(G8="—","待补数据",IF(G8&gt;=65,"偏多：按倍数定投/持有",IF(G8&lt;=40,"偏空：控制仓位","中性：按计划定投")))</f>
        <v>中性：按计划定投</v>
      </c>
    </row>
    <row r="9" customFormat="false" ht="150" hidden="false" customHeight="true" outlineLevel="0" collapsed="false">
      <c r="B9" s="3" t="s">
        <v>14</v>
      </c>
      <c r="C9" s="31" t="n">
        <v>0</v>
      </c>
      <c r="D9" s="31" t="n">
        <v>92.8</v>
      </c>
      <c r="E9" s="31" t="n">
        <v>21.1</v>
      </c>
      <c r="F9" s="31" t="n">
        <v>50</v>
      </c>
      <c r="G9" s="31" t="n">
        <f aca="false">IF(COUNT(C9:F9)=0,"—",ROUND((IF(ISNUMBER(C9),C9*40,0)+IF(ISNUMBER(D9),D9*30,0)+IF(ISNUMBER(E9),E9*15,0)+IF(ISNUMBER(F9),F9*15,0))/(IF(ISNUMBER(C9),40,0)+IF(ISNUMBER(D9),30,0)+IF(ISNUMBER(E9),15,0)+IF(ISNUMBER(F9),15,0)),1))</f>
        <v>38.5</v>
      </c>
      <c r="H9" s="3" t="str">
        <f aca="false">IF(G9="—","待补数据",IF(G9&gt;=65,"偏多：按倍数定投/持有",IF(G9&lt;=40,"偏空：控制仓位","中性：按计划定投")))</f>
        <v>偏空：控制仓位</v>
      </c>
    </row>
    <row r="10" customFormat="false" ht="165.75" hidden="false" customHeight="true" outlineLevel="0" collapsed="false">
      <c r="B10" s="9" t="s">
        <v>16</v>
      </c>
      <c r="C10" s="32" t="n">
        <v>0</v>
      </c>
      <c r="D10" s="32" t="n">
        <v>95</v>
      </c>
      <c r="E10" s="32" t="n">
        <v>21.1</v>
      </c>
      <c r="F10" s="32" t="n">
        <v>50</v>
      </c>
      <c r="G10" s="32" t="n">
        <f aca="false">IF(COUNT(C10:F10)=0,"—",ROUND((IF(ISNUMBER(C10),C10*40,0)+IF(ISNUMBER(D10),D10*30,0)+IF(ISNUMBER(E10),E10*15,0)+IF(ISNUMBER(F10),F10*15,0))/(IF(ISNUMBER(C10),40,0)+IF(ISNUMBER(D10),30,0)+IF(ISNUMBER(E10),15,0)+IF(ISNUMBER(F10),15,0)),1))</f>
        <v>39.2</v>
      </c>
      <c r="H10" s="9" t="str">
        <f aca="false">IF(G10="—","待补数据",IF(G10&gt;=65,"偏多：按倍数定投/持有",IF(G10&lt;=40,"偏空：控制仓位","中性：按计划定投")))</f>
        <v>偏空：控制仓位</v>
      </c>
    </row>
    <row r="11" customFormat="false" ht="165.75" hidden="false" customHeight="true" outlineLevel="0" collapsed="false">
      <c r="B11" s="3" t="s">
        <v>11</v>
      </c>
      <c r="C11" s="31"/>
      <c r="D11" s="31" t="n">
        <v>81.7</v>
      </c>
      <c r="E11" s="31" t="n">
        <v>73.1</v>
      </c>
      <c r="F11" s="31" t="n">
        <v>50</v>
      </c>
      <c r="G11" s="31" t="n">
        <f aca="false">IF(COUNT(C11:F11)=0,"—",ROUND((IF(ISNUMBER(C11),C11*40,0)+IF(ISNUMBER(D11),D11*30,0)+IF(ISNUMBER(E11),E11*15,0)+IF(ISNUMBER(F11),F11*15,0))/(IF(ISNUMBER(C11),40,0)+IF(ISNUMBER(D11),30,0)+IF(ISNUMBER(E11),15,0)+IF(ISNUMBER(F11),15,0)),1))</f>
        <v>71.6</v>
      </c>
      <c r="H11" s="3" t="str">
        <f aca="false">IF(G11="—","待补数据",IF(G11&gt;=65,"偏多：按倍数定投/持有",IF(G11&lt;=40,"偏空：控制仓位","中性：按计划定投")))</f>
        <v>偏多：按倍数定投/持有</v>
      </c>
    </row>
    <row r="12" customFormat="false" ht="165.75" hidden="false" customHeight="true" outlineLevel="0" collapsed="false">
      <c r="B12" s="9" t="s">
        <v>17</v>
      </c>
      <c r="C12" s="32"/>
      <c r="D12" s="32" t="n">
        <v>69.6</v>
      </c>
      <c r="E12" s="32" t="n">
        <v>57.4</v>
      </c>
      <c r="F12" s="32" t="n">
        <v>50</v>
      </c>
      <c r="G12" s="32" t="n">
        <f aca="false">IF(COUNT(C12:F12)=0,"—",ROUND((IF(ISNUMBER(C12),C12*40,0)+IF(ISNUMBER(D12),D12*30,0)+IF(ISNUMBER(E12),E12*15,0)+IF(ISNUMBER(F12),F12*15,0))/(IF(ISNUMBER(C12),40,0)+IF(ISNUMBER(D12),30,0)+IF(ISNUMBER(E12),15,0)+IF(ISNUMBER(F12),15,0)),1))</f>
        <v>61.7</v>
      </c>
      <c r="H12" s="9" t="str">
        <f aca="false">IF(G12="—","待补数据",IF(G12&gt;=65,"偏多：按倍数定投/持有",IF(G12&lt;=40,"偏空：控制仓位","中性：按计划定投")))</f>
        <v>中性：按计划定投</v>
      </c>
    </row>
    <row r="13" customFormat="false" ht="165.75" hidden="false" customHeight="true" outlineLevel="0" collapsed="false">
      <c r="B13" s="3" t="s">
        <v>57</v>
      </c>
      <c r="C13" s="31" t="n">
        <v>86.6</v>
      </c>
      <c r="D13" s="31" t="n">
        <v>37.6</v>
      </c>
      <c r="E13" s="31" t="n">
        <v>32.8</v>
      </c>
      <c r="F13" s="31" t="n">
        <v>50</v>
      </c>
      <c r="G13" s="31" t="n">
        <f aca="false">IF(COUNT(C13:F13)=0,"—",ROUND((IF(ISNUMBER(C13),C13*40,0)+IF(ISNUMBER(D13),D13*30,0)+IF(ISNUMBER(E13),E13*15,0)+IF(ISNUMBER(F13),F13*15,0))/(IF(ISNUMBER(C13),40,0)+IF(ISNUMBER(D13),30,0)+IF(ISNUMBER(E13),15,0)+IF(ISNUMBER(F13),15,0)),1))</f>
        <v>58.3</v>
      </c>
      <c r="H13" s="3" t="str">
        <f aca="false">IF(G13="—","待补数据",IF(G13&gt;=65,"偏多：按倍数定投/持有",IF(G13&lt;=40,"偏空：控制仓位","中性：按计划定投")))</f>
        <v>中性：按计划定投</v>
      </c>
    </row>
    <row r="14" customFormat="false" ht="165.75" hidden="false" customHeight="true" outlineLevel="0" collapsed="false">
      <c r="B14" s="9" t="s">
        <v>24</v>
      </c>
      <c r="C14" s="32" t="n">
        <v>85.8</v>
      </c>
      <c r="D14" s="32" t="n">
        <v>70.7</v>
      </c>
      <c r="E14" s="32" t="n">
        <v>34.7</v>
      </c>
      <c r="F14" s="32" t="n">
        <v>50</v>
      </c>
      <c r="G14" s="32" t="n">
        <f aca="false">IF(COUNT(C14:F14)=0,"—",ROUND((IF(ISNUMBER(C14),C14*40,0)+IF(ISNUMBER(D14),D14*30,0)+IF(ISNUMBER(E14),E14*15,0)+IF(ISNUMBER(F14),F14*15,0))/(IF(ISNUMBER(C14),40,0)+IF(ISNUMBER(D14),30,0)+IF(ISNUMBER(E14),15,0)+IF(ISNUMBER(F14),15,0)),1))</f>
        <v>68.2</v>
      </c>
      <c r="H14" s="9" t="str">
        <f aca="false">IF(G14="—","待补数据",IF(G14&gt;=65,"偏多：按倍数定投/持有",IF(G14&lt;=40,"偏空：控制仓位","中性：按计划定投")))</f>
        <v>偏多：按倍数定投/持有</v>
      </c>
    </row>
    <row r="15" customFormat="false" ht="165.75" hidden="false" customHeight="true" outlineLevel="0" collapsed="false">
      <c r="B15" s="3" t="s">
        <v>21</v>
      </c>
      <c r="C15" s="31" t="n">
        <v>38.9</v>
      </c>
      <c r="D15" s="31" t="n">
        <v>74.2</v>
      </c>
      <c r="E15" s="31" t="n">
        <v>31.9</v>
      </c>
      <c r="F15" s="31" t="n">
        <v>50</v>
      </c>
      <c r="G15" s="31" t="n">
        <f aca="false">IF(COUNT(C15:F15)=0,"—",ROUND((IF(ISNUMBER(C15),C15*40,0)+IF(ISNUMBER(D15),D15*30,0)+IF(ISNUMBER(E15),E15*15,0)+IF(ISNUMBER(F15),F15*15,0))/(IF(ISNUMBER(C15),40,0)+IF(ISNUMBER(D15),30,0)+IF(ISNUMBER(E15),15,0)+IF(ISNUMBER(F15),15,0)),1))</f>
        <v>50.1</v>
      </c>
      <c r="H15" s="3" t="str">
        <f aca="false">IF(G15="—","待补数据",IF(G15&gt;=65,"偏多：按倍数定投/持有",IF(G15&lt;=40,"偏空：控制仓位","中性：按计划定投")))</f>
        <v>中性：按计划定投</v>
      </c>
    </row>
    <row r="16" customFormat="false" ht="165.75" hidden="false" customHeight="true" outlineLevel="0" collapsed="false">
      <c r="B16" s="9" t="s">
        <v>61</v>
      </c>
      <c r="C16" s="32" t="n">
        <v>89.1</v>
      </c>
      <c r="D16" s="32" t="n">
        <v>40.8</v>
      </c>
      <c r="E16" s="32" t="n">
        <v>36.6</v>
      </c>
      <c r="F16" s="32" t="n">
        <v>50</v>
      </c>
      <c r="G16" s="32" t="n">
        <f aca="false">IF(COUNT(C16:F16)=0,"—",ROUND((IF(ISNUMBER(C16),C16*40,0)+IF(ISNUMBER(D16),D16*30,0)+IF(ISNUMBER(E16),E16*15,0)+IF(ISNUMBER(F16),F16*15,0))/(IF(ISNUMBER(C16),40,0)+IF(ISNUMBER(D16),30,0)+IF(ISNUMBER(E16),15,0)+IF(ISNUMBER(F16),15,0)),1))</f>
        <v>60.9</v>
      </c>
      <c r="H16" s="9" t="str">
        <f aca="false">IF(G16="—","待补数据",IF(G16&gt;=65,"偏多：按倍数定投/持有",IF(G16&lt;=40,"偏空：控制仓位","中性：按计划定投")))</f>
        <v>中性：按计划定投</v>
      </c>
    </row>
    <row r="17" customFormat="false" ht="165.75" hidden="false" customHeight="true" outlineLevel="0" collapsed="false">
      <c r="B17" s="3" t="s">
        <v>63</v>
      </c>
      <c r="C17" s="31" t="n">
        <v>71.4</v>
      </c>
      <c r="D17" s="31" t="n">
        <v>46.9</v>
      </c>
      <c r="E17" s="31" t="n">
        <v>34</v>
      </c>
      <c r="F17" s="31" t="n">
        <v>50</v>
      </c>
      <c r="G17" s="31" t="n">
        <f aca="false">IF(COUNT(C17:F17)=0,"—",ROUND((IF(ISNUMBER(C17),C17*40,0)+IF(ISNUMBER(D17),D17*30,0)+IF(ISNUMBER(E17),E17*15,0)+IF(ISNUMBER(F17),F17*15,0))/(IF(ISNUMBER(C17),40,0)+IF(ISNUMBER(D17),30,0)+IF(ISNUMBER(E17),15,0)+IF(ISNUMBER(F17),15,0)),1))</f>
        <v>55.2</v>
      </c>
      <c r="H17" s="3" t="str">
        <f aca="false">IF(G17="—","待补数据",IF(G17&gt;=65,"偏多：按倍数定投/持有",IF(G17&lt;=40,"偏空：控制仓位","中性：按计划定投")))</f>
        <v>中性：按计划定投</v>
      </c>
    </row>
    <row r="18" customFormat="false" ht="165.75" hidden="false" customHeight="true" outlineLevel="0" collapsed="false">
      <c r="B18" s="9" t="s">
        <v>65</v>
      </c>
      <c r="C18" s="32" t="n">
        <v>99.9</v>
      </c>
      <c r="D18" s="32" t="n">
        <v>43.1</v>
      </c>
      <c r="E18" s="32" t="n">
        <v>32.7</v>
      </c>
      <c r="F18" s="32" t="n">
        <v>50</v>
      </c>
      <c r="G18" s="32" t="n">
        <f aca="false">IF(COUNT(C18:F18)=0,"—",ROUND((IF(ISNUMBER(C18),C18*40,0)+IF(ISNUMBER(D18),D18*30,0)+IF(ISNUMBER(E18),E18*15,0)+IF(ISNUMBER(F18),F18*15,0))/(IF(ISNUMBER(C18),40,0)+IF(ISNUMBER(D18),30,0)+IF(ISNUMBER(E18),15,0)+IF(ISNUMBER(F18),15,0)),1))</f>
        <v>65.3</v>
      </c>
      <c r="H18" s="9" t="str">
        <f aca="false">IF(G18="—","待补数据",IF(G18&gt;=65,"偏多：按倍数定投/持有",IF(G18&lt;=40,"偏空：控制仓位","中性：按计划定投")))</f>
        <v>偏多：按倍数定投/持有</v>
      </c>
    </row>
    <row r="19" customFormat="false" ht="165.75" hidden="false" customHeight="true" outlineLevel="0" collapsed="false">
      <c r="B19" s="3" t="s">
        <v>23</v>
      </c>
      <c r="C19" s="31" t="n">
        <v>74.2</v>
      </c>
      <c r="D19" s="31" t="n">
        <v>65</v>
      </c>
      <c r="E19" s="31" t="n">
        <v>31.4</v>
      </c>
      <c r="F19" s="31" t="n">
        <v>50</v>
      </c>
      <c r="G19" s="31" t="n">
        <f aca="false">IF(COUNT(C19:F19)=0,"—",ROUND((IF(ISNUMBER(C19),C19*40,0)+IF(ISNUMBER(D19),D19*30,0)+IF(ISNUMBER(E19),E19*15,0)+IF(ISNUMBER(F19),F19*15,0))/(IF(ISNUMBER(C19),40,0)+IF(ISNUMBER(D19),30,0)+IF(ISNUMBER(E19),15,0)+IF(ISNUMBER(F19),15,0)),1))</f>
        <v>61.4</v>
      </c>
      <c r="H19" s="3" t="str">
        <f aca="false">IF(G19="—","待补数据",IF(G19&gt;=65,"偏多：按倍数定投/持有",IF(G19&lt;=40,"偏空：控制仓位","中性：按计划定投")))</f>
        <v>中性：按计划定投</v>
      </c>
    </row>
    <row r="20" customFormat="false" ht="165.75" hidden="false" customHeight="true" outlineLevel="0" collapsed="false">
      <c r="B20" s="9" t="s">
        <v>68</v>
      </c>
      <c r="C20" s="32" t="n">
        <v>70.7</v>
      </c>
      <c r="D20" s="32" t="n">
        <v>40.7</v>
      </c>
      <c r="E20" s="32" t="n">
        <v>21.1</v>
      </c>
      <c r="F20" s="32" t="n">
        <v>50</v>
      </c>
      <c r="G20" s="32" t="n">
        <f aca="false">IF(COUNT(C20:F20)=0,"—",ROUND((IF(ISNUMBER(C20),C20*40,0)+IF(ISNUMBER(D20),D20*30,0)+IF(ISNUMBER(E20),E20*15,0)+IF(ISNUMBER(F20),F20*15,0))/(IF(ISNUMBER(C20),40,0)+IF(ISNUMBER(D20),30,0)+IF(ISNUMBER(E20),15,0)+IF(ISNUMBER(F20),15,0)),1))</f>
        <v>51.2</v>
      </c>
      <c r="H20" s="9" t="str">
        <f aca="false">IF(G20="—","待补数据",IF(G20&gt;=65,"偏多：按倍数定投/持有",IF(G20&lt;=40,"偏空：控制仓位","中性：按计划定投")))</f>
        <v>中性：按计划定投</v>
      </c>
    </row>
    <row r="21" customFormat="false" ht="165.75" hidden="false" customHeight="true" outlineLevel="0" collapsed="false">
      <c r="B21" s="3" t="s">
        <v>70</v>
      </c>
      <c r="C21" s="31"/>
      <c r="D21" s="31"/>
      <c r="E21" s="31"/>
      <c r="F21" s="31"/>
      <c r="G21" s="31" t="str">
        <f aca="false">IF(COUNT(C21:F21)=0,"—",ROUND((IF(ISNUMBER(C21),C21*40,0)+IF(ISNUMBER(D21),D21*30,0)+IF(ISNUMBER(E21),E21*15,0)+IF(ISNUMBER(F21),F21*15,0))/(IF(ISNUMBER(C21),40,0)+IF(ISNUMBER(D21),30,0)+IF(ISNUMBER(E21),15,0)+IF(ISNUMBER(F21),15,0)),1))</f>
        <v>—</v>
      </c>
      <c r="H21" s="3" t="str">
        <f aca="false">IF(G21="—","待补数据",IF(G21&gt;=65,"偏多：按倍数定投/持有",IF(G21&lt;=40,"偏空：控制仓位","中性：按计划定投")))</f>
        <v>待补数据</v>
      </c>
    </row>
    <row r="22" customFormat="false" ht="21.75" hidden="false" customHeight="true" outlineLevel="0" collapsed="false"/>
    <row r="23" customFormat="false" ht="21.75" hidden="false" customHeight="true" outlineLevel="0" collapsed="false"/>
    <row r="24" customFormat="false" ht="21.75" hidden="false" customHeight="true" outlineLevel="0" collapsed="false">
      <c r="B24" s="18" t="s">
        <v>81</v>
      </c>
    </row>
  </sheetData>
  <mergeCells count="1">
    <mergeCell ref="B2:H2"/>
  </mergeCells>
  <conditionalFormatting sqref="G5:G21">
    <cfRule type="dataBar" priority="2">
      <dataBar showValue="1" minLength="10" maxLength="90">
        <cfvo type="num" val="0"/>
        <cfvo type="num" val="100"/>
        <color rgb="FF0D1B2A"/>
      </dataBar>
      <extLst>
        <ext xmlns:x14="http://schemas.microsoft.com/office/spreadsheetml/2009/9/main" uri="{B025F937-C7B1-47D3-B67F-A62EFF666E3E}">
          <x14:id>{7079ED5F-BDB1-4D11-8BAB-CDD0FC29F916}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79ED5F-BDB1-4D11-8BAB-CDD0FC29F916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0D1B2A"/>
              <x14:axisColor rgb="FF000000"/>
            </x14:dataBar>
          </x14:cfRule>
          <xm:sqref>G5:G21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" min="1" style="0" width="2.73"/>
    <col collapsed="false" customWidth="true" hidden="false" outlineLevel="0" max="2" min="2" style="0" width="25.47"/>
    <col collapsed="false" customWidth="true" hidden="false" outlineLevel="0" max="3" min="3" style="0" width="7.28"/>
    <col collapsed="false" customWidth="true" hidden="false" outlineLevel="0" max="4" min="4" style="0" width="16.29"/>
    <col collapsed="false" customWidth="true" hidden="false" outlineLevel="0" max="7" min="5" style="0" width="7.28"/>
    <col collapsed="false" customWidth="true" hidden="false" outlineLevel="0" max="8" min="8" style="0" width="25.47"/>
    <col collapsed="false" customWidth="true" hidden="false" outlineLevel="0" max="9" min="9" style="0" width="7.28"/>
    <col collapsed="false" customWidth="true" hidden="false" outlineLevel="0" max="10" min="10" style="0" width="25.47"/>
    <col collapsed="false" customWidth="true" hidden="false" outlineLevel="0" max="11" min="11" style="0" width="7.28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82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7.5" hidden="false" customHeight="true" outlineLevel="0" collapsed="false"/>
    <row r="4" customFormat="false" ht="27.75" hidden="false" customHeight="true" outlineLevel="0" collapsed="false">
      <c r="B4" s="2" t="s">
        <v>83</v>
      </c>
      <c r="C4" s="2" t="s">
        <v>84</v>
      </c>
      <c r="D4" s="2" t="s">
        <v>85</v>
      </c>
      <c r="E4" s="2" t="s">
        <v>86</v>
      </c>
      <c r="F4" s="2" t="s">
        <v>87</v>
      </c>
      <c r="G4" s="2" t="s">
        <v>88</v>
      </c>
      <c r="H4" s="2" t="s">
        <v>89</v>
      </c>
      <c r="I4" s="2" t="s">
        <v>90</v>
      </c>
      <c r="J4" s="2" t="s">
        <v>91</v>
      </c>
      <c r="K4" s="2" t="s">
        <v>43</v>
      </c>
    </row>
    <row r="5" customFormat="false" ht="21.75" hidden="false" customHeight="true" outlineLevel="0" collapsed="false">
      <c r="B5" s="3" t="s">
        <v>92</v>
      </c>
      <c r="C5" s="3" t="s">
        <v>93</v>
      </c>
      <c r="D5" s="3" t="s">
        <v>94</v>
      </c>
      <c r="E5" s="3" t="s">
        <v>95</v>
      </c>
      <c r="F5" s="3" t="n">
        <v>10000</v>
      </c>
      <c r="G5" s="3" t="n">
        <v>4.1</v>
      </c>
      <c r="H5" s="22" t="n">
        <f aca="false">F5*G5</f>
        <v>41000</v>
      </c>
      <c r="I5" s="33" t="n">
        <v>0.0003</v>
      </c>
      <c r="J5" s="22" t="n">
        <f aca="false">H5*I5</f>
        <v>12.3</v>
      </c>
      <c r="K5" s="3"/>
    </row>
    <row r="6" customFormat="false" ht="21.75" hidden="false" customHeight="true" outlineLevel="0" collapsed="false">
      <c r="B6" s="9" t="s">
        <v>92</v>
      </c>
      <c r="C6" s="9" t="s">
        <v>96</v>
      </c>
      <c r="D6" s="9" t="s">
        <v>97</v>
      </c>
      <c r="E6" s="9" t="s">
        <v>95</v>
      </c>
      <c r="F6" s="9" t="n">
        <v>30000</v>
      </c>
      <c r="G6" s="9" t="n">
        <v>1.42</v>
      </c>
      <c r="H6" s="26" t="n">
        <f aca="false">F6*G6</f>
        <v>42600</v>
      </c>
      <c r="I6" s="34" t="n">
        <v>0.0012</v>
      </c>
      <c r="J6" s="26" t="n">
        <f aca="false">H6*I6</f>
        <v>51.12</v>
      </c>
      <c r="K6" s="9"/>
    </row>
    <row r="7" customFormat="false" ht="21.75" hidden="false" customHeight="true" outlineLevel="0" collapsed="false">
      <c r="H7" s="35" t="str">
        <f aca="false">IF(OR(F7="",G7=""),"",F7*G7)</f>
        <v/>
      </c>
      <c r="J7" s="35" t="str">
        <f aca="false">IF(OR(H7="",I7=""),"",H7*I7)</f>
        <v/>
      </c>
    </row>
    <row r="8" customFormat="false" ht="21.75" hidden="false" customHeight="true" outlineLevel="0" collapsed="false">
      <c r="H8" s="35" t="str">
        <f aca="false">IF(OR(F8="",G8=""),"",F8*G8)</f>
        <v/>
      </c>
      <c r="J8" s="35" t="str">
        <f aca="false">IF(OR(H8="",I8=""),"",H8*I8)</f>
        <v/>
      </c>
    </row>
    <row r="9" customFormat="false" ht="21.75" hidden="false" customHeight="true" outlineLevel="0" collapsed="false">
      <c r="H9" s="35" t="str">
        <f aca="false">IF(OR(F9="",G9=""),"",F9*G9)</f>
        <v/>
      </c>
      <c r="J9" s="35" t="str">
        <f aca="false">IF(OR(H9="",I9=""),"",H9*I9)</f>
        <v/>
      </c>
    </row>
    <row r="10" customFormat="false" ht="21.75" hidden="false" customHeight="true" outlineLevel="0" collapsed="false">
      <c r="H10" s="35" t="str">
        <f aca="false">IF(OR(F10="",G10=""),"",F10*G10)</f>
        <v/>
      </c>
      <c r="J10" s="35" t="str">
        <f aca="false">IF(OR(H10="",I10=""),"",H10*I10)</f>
        <v/>
      </c>
    </row>
    <row r="11" customFormat="false" ht="21.75" hidden="false" customHeight="true" outlineLevel="0" collapsed="false">
      <c r="H11" s="35" t="str">
        <f aca="false">IF(OR(F11="",G11=""),"",F11*G11)</f>
        <v/>
      </c>
      <c r="J11" s="35" t="str">
        <f aca="false">IF(OR(H11="",I11=""),"",H11*I11)</f>
        <v/>
      </c>
    </row>
    <row r="12" customFormat="false" ht="21.75" hidden="false" customHeight="true" outlineLevel="0" collapsed="false">
      <c r="H12" s="35" t="str">
        <f aca="false">IF(OR(F12="",G12=""),"",F12*G12)</f>
        <v/>
      </c>
      <c r="J12" s="35" t="str">
        <f aca="false">IF(OR(H12="",I12=""),"",H12*I12)</f>
        <v/>
      </c>
    </row>
    <row r="13" customFormat="false" ht="21.75" hidden="false" customHeight="true" outlineLevel="0" collapsed="false">
      <c r="H13" s="35" t="str">
        <f aca="false">IF(OR(F13="",G13=""),"",F13*G13)</f>
        <v/>
      </c>
      <c r="J13" s="35" t="str">
        <f aca="false">IF(OR(H13="",I13=""),"",H13*I13)</f>
        <v/>
      </c>
    </row>
    <row r="14" customFormat="false" ht="21.75" hidden="false" customHeight="true" outlineLevel="0" collapsed="false">
      <c r="H14" s="35" t="str">
        <f aca="false">IF(OR(F14="",G14=""),"",F14*G14)</f>
        <v/>
      </c>
      <c r="J14" s="35" t="str">
        <f aca="false">IF(OR(H14="",I14=""),"",H14*I14)</f>
        <v/>
      </c>
    </row>
    <row r="15" customFormat="false" ht="21.75" hidden="false" customHeight="true" outlineLevel="0" collapsed="false">
      <c r="H15" s="35" t="str">
        <f aca="false">IF(OR(F15="",G15=""),"",F15*G15)</f>
        <v/>
      </c>
      <c r="J15" s="35" t="str">
        <f aca="false">IF(OR(H15="",I15=""),"",H15*I15)</f>
        <v/>
      </c>
    </row>
    <row r="16" customFormat="false" ht="21.75" hidden="false" customHeight="true" outlineLevel="0" collapsed="false">
      <c r="H16" s="35" t="str">
        <f aca="false">IF(OR(F16="",G16=""),"",F16*G16)</f>
        <v/>
      </c>
      <c r="J16" s="35" t="str">
        <f aca="false">IF(OR(H16="",I16=""),"",H16*I16)</f>
        <v/>
      </c>
    </row>
    <row r="17" customFormat="false" ht="21.75" hidden="false" customHeight="true" outlineLevel="0" collapsed="false">
      <c r="H17" s="35" t="str">
        <f aca="false">IF(OR(F17="",G17=""),"",F17*G17)</f>
        <v/>
      </c>
      <c r="J17" s="35" t="str">
        <f aca="false">IF(OR(H17="",I17=""),"",H17*I17)</f>
        <v/>
      </c>
    </row>
    <row r="18" customFormat="false" ht="21.75" hidden="false" customHeight="true" outlineLevel="0" collapsed="false">
      <c r="H18" s="35" t="str">
        <f aca="false">IF(OR(F18="",G18=""),"",F18*G18)</f>
        <v/>
      </c>
      <c r="J18" s="35" t="str">
        <f aca="false">IF(OR(H18="",I18=""),"",H18*I18)</f>
        <v/>
      </c>
    </row>
    <row r="19" customFormat="false" ht="21.75" hidden="false" customHeight="true" outlineLevel="0" collapsed="false">
      <c r="H19" s="35" t="str">
        <f aca="false">IF(OR(F19="",G19=""),"",F19*G19)</f>
        <v/>
      </c>
      <c r="J19" s="35" t="str">
        <f aca="false">IF(OR(H19="",I19=""),"",H19*I19)</f>
        <v/>
      </c>
    </row>
    <row r="20" customFormat="false" ht="21.75" hidden="false" customHeight="true" outlineLevel="0" collapsed="false">
      <c r="H20" s="35" t="str">
        <f aca="false">IF(OR(F20="",G20=""),"",F20*G20)</f>
        <v/>
      </c>
      <c r="J20" s="35" t="str">
        <f aca="false">IF(OR(H20="",I20=""),"",H20*I20)</f>
        <v/>
      </c>
    </row>
    <row r="21" customFormat="false" ht="21.75" hidden="false" customHeight="true" outlineLevel="0" collapsed="false">
      <c r="H21" s="35" t="str">
        <f aca="false">IF(OR(F21="",G21=""),"",F21*G21)</f>
        <v/>
      </c>
      <c r="J21" s="35" t="str">
        <f aca="false">IF(OR(H21="",I21=""),"",H21*I21)</f>
        <v/>
      </c>
    </row>
    <row r="22" customFormat="false" ht="21.75" hidden="false" customHeight="true" outlineLevel="0" collapsed="false">
      <c r="H22" s="35" t="str">
        <f aca="false">IF(OR(F22="",G22=""),"",F22*G22)</f>
        <v/>
      </c>
      <c r="J22" s="35" t="str">
        <f aca="false">IF(OR(H22="",I22=""),"",H22*I22)</f>
        <v/>
      </c>
    </row>
    <row r="23" customFormat="false" ht="21.75" hidden="false" customHeight="true" outlineLevel="0" collapsed="false">
      <c r="H23" s="35" t="str">
        <f aca="false">IF(OR(F23="",G23=""),"",F23*G23)</f>
        <v/>
      </c>
      <c r="J23" s="35" t="str">
        <f aca="false">IF(OR(H23="",I23=""),"",H23*I23)</f>
        <v/>
      </c>
    </row>
    <row r="24" customFormat="false" ht="21.75" hidden="false" customHeight="true" outlineLevel="0" collapsed="false">
      <c r="H24" s="35" t="str">
        <f aca="false">IF(OR(F24="",G24=""),"",F24*G24)</f>
        <v/>
      </c>
      <c r="J24" s="35" t="str">
        <f aca="false">IF(OR(H24="",I24=""),"",H24*I24)</f>
        <v/>
      </c>
    </row>
    <row r="25" customFormat="false" ht="21.75" hidden="false" customHeight="true" outlineLevel="0" collapsed="false">
      <c r="H25" s="35" t="str">
        <f aca="false">IF(OR(F25="",G25=""),"",F25*G25)</f>
        <v/>
      </c>
      <c r="J25" s="35" t="str">
        <f aca="false">IF(OR(H25="",I25=""),"",H25*I25)</f>
        <v/>
      </c>
    </row>
    <row r="26" customFormat="false" ht="21.75" hidden="false" customHeight="true" outlineLevel="0" collapsed="false">
      <c r="H26" s="35" t="str">
        <f aca="false">IF(OR(F26="",G26=""),"",F26*G26)</f>
        <v/>
      </c>
      <c r="J26" s="35" t="str">
        <f aca="false">IF(OR(H26="",I26=""),"",H26*I26)</f>
        <v/>
      </c>
    </row>
    <row r="27" customFormat="false" ht="25.5" hidden="false" customHeight="true" outlineLevel="0" collapsed="false">
      <c r="B27" s="15" t="s">
        <v>98</v>
      </c>
      <c r="C27" s="15"/>
      <c r="D27" s="15"/>
      <c r="E27" s="15"/>
      <c r="F27" s="15"/>
      <c r="G27" s="15"/>
      <c r="H27" s="17" t="n">
        <f aca="false">SUMIF(E5:E26,"买入",H5:H26)</f>
        <v>83600</v>
      </c>
      <c r="I27" s="15"/>
      <c r="J27" s="15"/>
      <c r="K27" s="15"/>
    </row>
    <row r="28" customFormat="false" ht="21.75" hidden="false" customHeight="true" outlineLevel="0" collapsed="false">
      <c r="B28" s="0" t="s">
        <v>99</v>
      </c>
      <c r="H28" s="35" t="n">
        <f aca="false">SUMIF(E5:E26,"卖出",H5:H26)</f>
        <v>0</v>
      </c>
    </row>
    <row r="29" customFormat="false" ht="21.75" hidden="false" customHeight="true" outlineLevel="0" collapsed="false"/>
    <row r="30" customFormat="false" ht="21.75" hidden="false" customHeight="true" outlineLevel="0" collapsed="false">
      <c r="B30" s="18" t="s">
        <v>100</v>
      </c>
    </row>
  </sheetData>
  <mergeCells count="1"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" min="1" style="0" width="2.73"/>
    <col collapsed="false" customWidth="true" hidden="false" outlineLevel="0" max="2" min="2" style="0" width="7.28"/>
    <col collapsed="false" customWidth="true" hidden="false" outlineLevel="0" max="3" min="3" style="0" width="25.47"/>
    <col collapsed="false" customWidth="true" hidden="false" outlineLevel="0" max="4" min="4" style="0" width="20.93"/>
    <col collapsed="false" customWidth="true" hidden="false" outlineLevel="0" max="5" min="5" style="0" width="7.28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101</v>
      </c>
      <c r="C2" s="1"/>
      <c r="D2" s="1"/>
      <c r="E2" s="1"/>
    </row>
    <row r="3" customFormat="false" ht="7.5" hidden="false" customHeight="true" outlineLevel="0" collapsed="false"/>
    <row r="4" customFormat="false" ht="27.75" hidden="false" customHeight="true" outlineLevel="0" collapsed="false">
      <c r="B4" s="2" t="s">
        <v>102</v>
      </c>
      <c r="C4" s="2" t="s">
        <v>103</v>
      </c>
      <c r="D4" s="2" t="s">
        <v>104</v>
      </c>
      <c r="E4" s="2" t="s">
        <v>105</v>
      </c>
    </row>
    <row r="5" customFormat="false" ht="37.5" hidden="false" customHeight="true" outlineLevel="0" collapsed="false">
      <c r="B5" s="3" t="s">
        <v>106</v>
      </c>
      <c r="C5" s="3" t="s">
        <v>107</v>
      </c>
      <c r="D5" s="3" t="s">
        <v>108</v>
      </c>
      <c r="E5" s="3"/>
    </row>
    <row r="6" customFormat="false" ht="37.5" hidden="false" customHeight="true" outlineLevel="0" collapsed="false">
      <c r="B6" s="9" t="s">
        <v>109</v>
      </c>
      <c r="C6" s="9" t="s">
        <v>110</v>
      </c>
      <c r="D6" s="9" t="s">
        <v>111</v>
      </c>
      <c r="E6" s="9"/>
    </row>
    <row r="7" customFormat="false" ht="21.75" hidden="false" customHeight="true" outlineLevel="0" collapsed="false">
      <c r="B7" s="3" t="s">
        <v>109</v>
      </c>
      <c r="C7" s="3" t="s">
        <v>112</v>
      </c>
      <c r="D7" s="3" t="s">
        <v>113</v>
      </c>
      <c r="E7" s="3"/>
    </row>
    <row r="8" customFormat="false" ht="21.75" hidden="false" customHeight="true" outlineLevel="0" collapsed="false">
      <c r="B8" s="9" t="s">
        <v>109</v>
      </c>
      <c r="C8" s="9" t="s">
        <v>114</v>
      </c>
      <c r="D8" s="9" t="s">
        <v>115</v>
      </c>
      <c r="E8" s="9"/>
    </row>
    <row r="9" customFormat="false" ht="37.5" hidden="false" customHeight="true" outlineLevel="0" collapsed="false">
      <c r="B9" s="3" t="s">
        <v>116</v>
      </c>
      <c r="C9" s="3" t="s">
        <v>117</v>
      </c>
      <c r="D9" s="3" t="s">
        <v>118</v>
      </c>
      <c r="E9" s="3"/>
    </row>
    <row r="10" customFormat="false" ht="37.5" hidden="false" customHeight="true" outlineLevel="0" collapsed="false">
      <c r="B10" s="9" t="s">
        <v>116</v>
      </c>
      <c r="C10" s="9" t="s">
        <v>119</v>
      </c>
      <c r="D10" s="9" t="s">
        <v>120</v>
      </c>
      <c r="E10" s="9"/>
    </row>
    <row r="11" customFormat="false" ht="37.5" hidden="false" customHeight="true" outlineLevel="0" collapsed="false">
      <c r="B11" s="3" t="s">
        <v>121</v>
      </c>
      <c r="C11" s="3" t="s">
        <v>122</v>
      </c>
      <c r="D11" s="3" t="s">
        <v>123</v>
      </c>
      <c r="E11" s="3"/>
    </row>
    <row r="12" customFormat="false" ht="37.5" hidden="false" customHeight="true" outlineLevel="0" collapsed="false">
      <c r="B12" s="9" t="s">
        <v>121</v>
      </c>
      <c r="C12" s="9" t="s">
        <v>124</v>
      </c>
      <c r="D12" s="9" t="s">
        <v>125</v>
      </c>
      <c r="E12" s="9"/>
    </row>
  </sheetData>
  <mergeCells count="1">
    <mergeCell ref="B2:E2"/>
  </mergeCells>
  <conditionalFormatting sqref="E5:E12">
    <cfRule type="cellIs" priority="2" operator="equal" aboveAverage="0" equalAverage="0" bottom="0" percent="0" rank="0" text="" dxfId="1">
      <formula>"√"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" min="1" style="0" width="2.73"/>
    <col collapsed="false" customWidth="true" hidden="false" outlineLevel="0" max="2" min="2" style="0" width="20.93"/>
    <col collapsed="false" customWidth="true" hidden="false" outlineLevel="0" max="3" min="3" style="0" width="25.47"/>
    <col collapsed="false" customWidth="true" hidden="false" outlineLevel="0" max="4" min="4" style="0" width="19.84"/>
    <col collapsed="false" customWidth="true" hidden="false" outlineLevel="0" max="5" min="5" style="0" width="25.47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126</v>
      </c>
      <c r="C2" s="1"/>
      <c r="D2" s="1"/>
      <c r="E2" s="1"/>
    </row>
    <row r="3" customFormat="false" ht="7.5" hidden="false" customHeight="true" outlineLevel="0" collapsed="false"/>
    <row r="4" customFormat="false" ht="27.75" hidden="false" customHeight="true" outlineLevel="0" collapsed="false">
      <c r="B4" s="2" t="s">
        <v>127</v>
      </c>
      <c r="C4" s="2" t="s">
        <v>128</v>
      </c>
      <c r="D4" s="2" t="s">
        <v>129</v>
      </c>
      <c r="E4" s="2" t="s">
        <v>130</v>
      </c>
    </row>
    <row r="5" customFormat="false" ht="37.5" hidden="false" customHeight="true" outlineLevel="0" collapsed="false">
      <c r="B5" s="3" t="s">
        <v>131</v>
      </c>
      <c r="C5" s="3" t="n">
        <v>1</v>
      </c>
      <c r="D5" s="33" t="n">
        <f aca="false">SUM(配置总览!D5:D16)</f>
        <v>1</v>
      </c>
      <c r="E5" s="3" t="str">
        <f aca="false">IF(ABS(C5-D5)&lt;0.01,"✓ PASS","✗ FAIL")</f>
        <v>✓ PASS</v>
      </c>
    </row>
    <row r="6" customFormat="false" ht="37.5" hidden="false" customHeight="true" outlineLevel="0" collapsed="false">
      <c r="B6" s="9" t="s">
        <v>132</v>
      </c>
      <c r="C6" s="26" t="n">
        <f aca="false">定投计划!C3</f>
        <v>10000</v>
      </c>
      <c r="D6" s="9" t="n">
        <f aca="false">SUM(定投计划!D5:D16)</f>
        <v>10000</v>
      </c>
      <c r="E6" s="9" t="str">
        <f aca="false">IF(ABS(C6-D6)&lt;0.01,"✓ PASS","✗ FAIL")</f>
        <v>✓ PASS</v>
      </c>
    </row>
    <row r="7" customFormat="false" ht="37.5" hidden="false" customHeight="true" outlineLevel="0" collapsed="false">
      <c r="B7" s="3" t="s">
        <v>133</v>
      </c>
      <c r="C7" s="3" t="n">
        <f aca="false">SUMPRODUCT(持仓记录!F5:F6,持仓记录!G5:G6)</f>
        <v>83600</v>
      </c>
      <c r="D7" s="3" t="n">
        <f aca="false">SUM(持仓记录!H5:H6)</f>
        <v>83600</v>
      </c>
      <c r="E7" s="3" t="str">
        <f aca="false">IF(ABS(C7-D7)&lt;0.01,"✓ PASS","✗ FAIL")</f>
        <v>✓ PASS</v>
      </c>
    </row>
  </sheetData>
  <mergeCells count="1">
    <mergeCell ref="B2:E2"/>
  </mergeCells>
  <conditionalFormatting sqref="E5:E7">
    <cfRule type="cellIs" priority="2" operator="equal" aboveAverage="0" equalAverage="0" bottom="0" percent="0" rank="0" text="" dxfId="2">
      <formula>"✗ 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2026-10-04T05:51:46Z</dcterms:created>
  <dc:creator>Z.ai</dc:creator>
  <dc:description/>
  <dc:language>zh-CN</dc:language>
  <cp:lastModifiedBy/>
  <dcterms:modified xsi:type="dcterms:W3CDTF">2026-10-04T05:51:46Z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